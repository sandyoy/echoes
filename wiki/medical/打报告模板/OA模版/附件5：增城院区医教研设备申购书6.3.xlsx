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bookViews>
  <sheets>
    <sheet name="申购表" sheetId="1" r:id="rId1"/>
    <sheet name="医院固定资产折旧年限表 " sheetId="3" r:id="rId2"/>
  </sheets>
  <definedNames>
    <definedName name="_GoBack" localSheetId="0">申购表!#REF!</definedName>
    <definedName name="solver_adj" localSheetId="0" hidden="1">申购表!$D$53</definedName>
    <definedName name="solver_cvg" localSheetId="0" hidden="1">0.0001</definedName>
    <definedName name="solver_drv" localSheetId="0" hidden="1">1</definedName>
    <definedName name="solver_eng" localSheetId="0" hidden="1">1</definedName>
    <definedName name="solver_itr" localSheetId="0" hidden="1">0</definedName>
    <definedName name="solver_lin" localSheetId="0" hidden="1">0</definedName>
    <definedName name="solver_mip" localSheetId="0" hidden="1">0</definedName>
    <definedName name="solver_msl" localSheetId="0" hidden="1">0</definedName>
    <definedName name="solver_neg" localSheetId="0" hidden="1">1</definedName>
    <definedName name="solver_nod" localSheetId="0" hidden="1">0</definedName>
    <definedName name="solver_num" localSheetId="0" hidden="1">0</definedName>
    <definedName name="solver_opt" localSheetId="0" hidden="1">申购表!$K$52</definedName>
    <definedName name="solver_pre" localSheetId="0" hidden="1">0.000001</definedName>
    <definedName name="solver_rbv" localSheetId="0" hidden="1">1</definedName>
    <definedName name="solver_rlx" localSheetId="0" hidden="1">0</definedName>
    <definedName name="solver_rsd" localSheetId="0" hidden="1">0</definedName>
    <definedName name="solver_scl" localSheetId="0" hidden="1">1</definedName>
    <definedName name="solver_sho" localSheetId="0" hidden="1">0</definedName>
    <definedName name="solver_ssz" localSheetId="0" hidden="1">100</definedName>
    <definedName name="solver_tim" localSheetId="0" hidden="1">0</definedName>
    <definedName name="solver_tol" localSheetId="0" hidden="1">0.01</definedName>
    <definedName name="solver_typ" localSheetId="0" hidden="1">3</definedName>
    <definedName name="solver_val" localSheetId="0" hidden="1">0</definedName>
    <definedName name="solver_ver" localSheetId="0"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Heychan</author>
  </authors>
  <commentList>
    <comment ref="C52" authorId="0">
      <text>
        <r>
          <rPr>
            <b/>
            <sz val="9"/>
            <rFont val="宋体"/>
            <charset val="134"/>
          </rPr>
          <t>Heychan:</t>
        </r>
        <r>
          <rPr>
            <sz val="9"/>
            <rFont val="宋体"/>
            <charset val="134"/>
          </rPr>
          <t xml:space="preserve">
从《项目清单》自动导入，请勿自行修改</t>
        </r>
      </text>
    </comment>
  </commentList>
</comments>
</file>

<file path=xl/sharedStrings.xml><?xml version="1.0" encoding="utf-8"?>
<sst xmlns="http://schemas.openxmlformats.org/spreadsheetml/2006/main" count="185" uniqueCount="183">
  <si>
    <t>南方医科大学南方医院增城院区
医教研设备申购书</t>
  </si>
  <si>
    <t>申请科室</t>
  </si>
  <si>
    <t>妇产科</t>
  </si>
  <si>
    <t>联系人</t>
  </si>
  <si>
    <t>联系方式</t>
  </si>
  <si>
    <t>设备名称</t>
  </si>
  <si>
    <t>低频电刺激治疗仪（智能控制版）</t>
  </si>
  <si>
    <t xml:space="preserve">   进口</t>
  </si>
  <si>
    <t xml:space="preserve">   国产</t>
  </si>
  <si>
    <t>拟购置时间</t>
  </si>
  <si>
    <r>
      <rPr>
        <sz val="12"/>
        <color theme="1"/>
        <rFont val="Times New Roman"/>
        <charset val="134"/>
      </rPr>
      <t xml:space="preserve">   </t>
    </r>
    <r>
      <rPr>
        <sz val="12"/>
        <color theme="1"/>
        <rFont val="宋体"/>
        <charset val="134"/>
      </rPr>
      <t>月</t>
    </r>
    <r>
      <rPr>
        <sz val="12"/>
        <color theme="1"/>
        <rFont val="Times New Roman"/>
        <charset val="134"/>
      </rPr>
      <t xml:space="preserve">   </t>
    </r>
  </si>
  <si>
    <t>预算</t>
  </si>
  <si>
    <t>申购数量</t>
  </si>
  <si>
    <r>
      <rPr>
        <sz val="12"/>
        <color theme="1"/>
        <rFont val="宋体"/>
        <charset val="134"/>
      </rPr>
      <t>8台</t>
    </r>
    <r>
      <rPr>
        <sz val="12"/>
        <color theme="1"/>
        <rFont val="Times New Roman"/>
        <charset val="134"/>
      </rPr>
      <t>/</t>
    </r>
    <r>
      <rPr>
        <sz val="12"/>
        <color theme="1"/>
        <rFont val="宋体"/>
        <charset val="134"/>
      </rPr>
      <t>套</t>
    </r>
  </si>
  <si>
    <t>经费出处</t>
  </si>
  <si>
    <t>购置类型</t>
  </si>
  <si>
    <r>
      <rPr>
        <sz val="12"/>
        <color theme="1"/>
        <rFont val="宋体"/>
        <charset val="134"/>
      </rPr>
      <t xml:space="preserve">  新引进</t>
    </r>
    <r>
      <rPr>
        <sz val="12"/>
        <color theme="1"/>
        <rFont val="Times New Roman"/>
        <charset val="134"/>
      </rPr>
      <t xml:space="preserve">                             </t>
    </r>
    <r>
      <rPr>
        <sz val="12"/>
        <color theme="1"/>
        <rFont val="宋体"/>
        <charset val="134"/>
      </rPr>
      <t>替换</t>
    </r>
    <r>
      <rPr>
        <sz val="12"/>
        <color theme="1"/>
        <rFont val="Times New Roman"/>
        <charset val="134"/>
      </rPr>
      <t xml:space="preserve"> </t>
    </r>
    <r>
      <rPr>
        <u/>
        <sz val="12"/>
        <color theme="1"/>
        <rFont val="Times New Roman"/>
        <charset val="134"/>
      </rPr>
      <t xml:space="preserve">                                      </t>
    </r>
    <r>
      <rPr>
        <sz val="12"/>
        <color theme="1"/>
        <rFont val="Times New Roman"/>
        <charset val="134"/>
      </rPr>
      <t xml:space="preserve">          </t>
    </r>
    <r>
      <rPr>
        <sz val="12"/>
        <color theme="1"/>
        <rFont val="宋体"/>
        <charset val="134"/>
      </rPr>
      <t>补充</t>
    </r>
    <r>
      <rPr>
        <sz val="12"/>
        <color theme="1"/>
        <rFont val="Times New Roman"/>
        <charset val="134"/>
      </rPr>
      <t xml:space="preserve"> </t>
    </r>
    <r>
      <rPr>
        <u/>
        <sz val="12"/>
        <color theme="1"/>
        <rFont val="Times New Roman"/>
        <charset val="134"/>
      </rPr>
      <t xml:space="preserve">                   </t>
    </r>
  </si>
  <si>
    <r>
      <rPr>
        <sz val="10.5"/>
        <color theme="1"/>
        <rFont val="宋体"/>
        <charset val="134"/>
      </rPr>
      <t>（说明：选择“替换”的请在横线上填写需</t>
    </r>
    <r>
      <rPr>
        <b/>
        <sz val="10.5"/>
        <color theme="1"/>
        <rFont val="宋体"/>
        <charset val="134"/>
      </rPr>
      <t>替换设备的资产编号</t>
    </r>
  </si>
  <si>
    <r>
      <rPr>
        <sz val="10.5"/>
        <color theme="1"/>
        <rFont val="宋体"/>
        <charset val="134"/>
      </rPr>
      <t>选择“补充”的请在横线上填写科室</t>
    </r>
    <r>
      <rPr>
        <b/>
        <sz val="10.5"/>
        <color theme="1"/>
        <rFont val="宋体"/>
        <charset val="134"/>
      </rPr>
      <t>现有设备数量</t>
    </r>
    <r>
      <rPr>
        <sz val="10.5"/>
        <color theme="1"/>
        <rFont val="宋体"/>
        <charset val="134"/>
      </rPr>
      <t>）</t>
    </r>
  </si>
  <si>
    <t>购置理由及必要性</t>
  </si>
  <si>
    <r>
      <rPr>
        <b/>
        <sz val="11"/>
        <color theme="1"/>
        <rFont val="宋体"/>
        <charset val="134"/>
      </rPr>
      <t>设备主要功能：通过对患者的肌肉施加电刺激来恢复患者的肌肉功能障碍</t>
    </r>
    <r>
      <rPr>
        <b/>
        <sz val="11"/>
        <color theme="1"/>
        <rFont val="Times New Roman"/>
        <charset val="134"/>
      </rPr>
      <t xml:space="preserve">
       </t>
    </r>
    <r>
      <rPr>
        <b/>
        <sz val="11"/>
        <color theme="1"/>
        <rFont val="宋体"/>
        <charset val="134"/>
      </rPr>
      <t>低频电刺激治疗仪（智能控制版）功能主要包括产后常规康复，产后泌乳及胸部养护，盆底康复治疗、男性直肠康复治疗等服务。所服务的科室为产科、妇科、盆底中心及泌尿外科、康复科等。</t>
    </r>
    <r>
      <rPr>
        <b/>
        <sz val="11"/>
        <color theme="1"/>
        <rFont val="Times New Roman"/>
        <charset val="134"/>
      </rPr>
      <t xml:space="preserve">
</t>
    </r>
    <r>
      <rPr>
        <b/>
        <sz val="11"/>
        <color theme="1"/>
        <rFont val="宋体"/>
        <charset val="134"/>
      </rPr>
      <t>对应可治疗的症状包括：人流术后康复、术后尿储留、轻中度压力性尿失禁、腹直肌分离、子宫复旧不良、生殖子宫内膜养护、卵巢保养、产后镇痛、产后乳汁淤积、乳汁不足、便失禁等。
   设备通过一个完整的治疗工作站的支持；用一台主控制机，连接控制</t>
    </r>
    <r>
      <rPr>
        <b/>
        <sz val="11"/>
        <color theme="1"/>
        <rFont val="Times New Roman"/>
        <charset val="134"/>
      </rPr>
      <t>8</t>
    </r>
    <r>
      <rPr>
        <b/>
        <sz val="11"/>
        <color theme="1"/>
        <rFont val="宋体"/>
        <charset val="134"/>
      </rPr>
      <t>台硬件设备，可独立在不同病房或者病区间使用，为患者在病床进行相应的治疗。无需医护陪同即可按照管理端制定的方案完成训练，达到治疗效果。医护通过管理端对患者进行管理，可同时对多个患者进行治疗，极大程度上提高了医疗及护理效率和质量，降低了医护人员的工作强度。</t>
    </r>
  </si>
  <si>
    <r>
      <rPr>
        <b/>
        <sz val="12"/>
        <color theme="1"/>
        <rFont val="Times New Roman"/>
        <charset val="134"/>
      </rPr>
      <t>2.</t>
    </r>
    <r>
      <rPr>
        <b/>
        <sz val="12"/>
        <color theme="1"/>
        <rFont val="宋体"/>
        <charset val="134"/>
      </rPr>
      <t>科室同类设备情况</t>
    </r>
  </si>
  <si>
    <r>
      <rPr>
        <sz val="10.5"/>
        <color theme="1"/>
        <rFont val="宋体"/>
        <charset val="134"/>
      </rPr>
      <t>有同类设备数量：</t>
    </r>
    <r>
      <rPr>
        <sz val="10.5"/>
        <color theme="1"/>
        <rFont val="Times New Roman"/>
        <charset val="134"/>
      </rPr>
      <t xml:space="preserve">                     </t>
    </r>
    <r>
      <rPr>
        <sz val="10.5"/>
        <color theme="1"/>
        <rFont val="宋体"/>
        <charset val="134"/>
      </rPr>
      <t>现有设备满负荷工作量：</t>
    </r>
  </si>
  <si>
    <r>
      <rPr>
        <sz val="10.5"/>
        <color theme="1"/>
        <rFont val="宋体"/>
        <charset val="134"/>
      </rPr>
      <t>每月诊疗数量：</t>
    </r>
    <r>
      <rPr>
        <sz val="10.5"/>
        <color theme="1"/>
        <rFont val="Times New Roman"/>
        <charset val="134"/>
      </rPr>
      <t xml:space="preserve">                         </t>
    </r>
    <r>
      <rPr>
        <sz val="10.5"/>
        <color theme="1"/>
        <rFont val="宋体"/>
        <charset val="134"/>
      </rPr>
      <t>现有数量是否满足需求：</t>
    </r>
  </si>
  <si>
    <t>如科室目前无该设备，则填写该项目预估每月工作量：</t>
  </si>
  <si>
    <r>
      <rPr>
        <b/>
        <sz val="12"/>
        <color theme="1"/>
        <rFont val="Times New Roman"/>
        <charset val="134"/>
      </rPr>
      <t>3.</t>
    </r>
    <r>
      <rPr>
        <b/>
        <sz val="12"/>
        <color theme="1"/>
        <rFont val="宋体"/>
        <charset val="134"/>
      </rPr>
      <t>应用范围：</t>
    </r>
  </si>
  <si>
    <r>
      <rPr>
        <sz val="10.5"/>
        <color theme="1"/>
        <rFont val="Times New Roman"/>
        <charset val="134"/>
      </rPr>
      <t xml:space="preserve">    </t>
    </r>
    <r>
      <rPr>
        <sz val="10.5"/>
        <color theme="1"/>
        <rFont val="宋体"/>
        <charset val="134"/>
      </rPr>
      <t>本科室专用</t>
    </r>
    <r>
      <rPr>
        <sz val="10.5"/>
        <color theme="1"/>
        <rFont val="Times New Roman"/>
        <charset val="134"/>
      </rPr>
      <t xml:space="preserve">                          </t>
    </r>
    <r>
      <rPr>
        <sz val="10.5"/>
        <color theme="1"/>
        <rFont val="宋体"/>
        <charset val="134"/>
      </rPr>
      <t>面向全院</t>
    </r>
  </si>
  <si>
    <r>
      <rPr>
        <sz val="10.5"/>
        <color theme="1"/>
        <rFont val="Times New Roman"/>
        <charset val="134"/>
      </rPr>
      <t xml:space="preserve">    </t>
    </r>
    <r>
      <rPr>
        <sz val="10.5"/>
        <color theme="1"/>
        <rFont val="宋体"/>
        <charset val="134"/>
      </rPr>
      <t>多科室共享（可共享科室：</t>
    </r>
    <r>
      <rPr>
        <sz val="10.5"/>
        <color theme="1"/>
        <rFont val="Times New Roman"/>
        <charset val="134"/>
      </rPr>
      <t xml:space="preserve">     </t>
    </r>
    <r>
      <rPr>
        <sz val="10.5"/>
        <color theme="1"/>
        <rFont val="宋体"/>
        <charset val="134"/>
      </rPr>
      <t>妇科、盆底康复中心、泌尿外科</t>
    </r>
    <r>
      <rPr>
        <sz val="10.5"/>
        <color theme="1"/>
        <rFont val="Times New Roman"/>
        <charset val="134"/>
      </rPr>
      <t xml:space="preserve">                              </t>
    </r>
    <r>
      <rPr>
        <sz val="10.5"/>
        <color theme="1"/>
        <rFont val="宋体"/>
        <charset val="134"/>
      </rPr>
      <t>）</t>
    </r>
  </si>
  <si>
    <r>
      <rPr>
        <b/>
        <sz val="12"/>
        <color theme="1"/>
        <rFont val="Times New Roman"/>
        <charset val="134"/>
      </rPr>
      <t>4.</t>
    </r>
    <r>
      <rPr>
        <b/>
        <sz val="12"/>
        <color theme="1"/>
        <rFont val="宋体"/>
        <charset val="134"/>
      </rPr>
      <t>医疗需求：</t>
    </r>
  </si>
  <si>
    <r>
      <rPr>
        <sz val="10.5"/>
        <color theme="1"/>
        <rFont val="Times New Roman"/>
        <charset val="134"/>
      </rPr>
      <t xml:space="preserve">    </t>
    </r>
    <r>
      <rPr>
        <sz val="10.5"/>
        <color theme="1"/>
        <rFont val="宋体"/>
        <charset val="134"/>
      </rPr>
      <t>解决疑难危重疾病</t>
    </r>
    <r>
      <rPr>
        <sz val="10.5"/>
        <color theme="1"/>
        <rFont val="Times New Roman"/>
        <charset val="134"/>
      </rPr>
      <t xml:space="preserve"> </t>
    </r>
    <r>
      <rPr>
        <sz val="10.5"/>
        <color theme="1"/>
        <rFont val="宋体"/>
        <charset val="134"/>
      </rPr>
      <t>（举例：</t>
    </r>
    <r>
      <rPr>
        <sz val="10.5"/>
        <color theme="1"/>
        <rFont val="Times New Roman"/>
        <charset val="134"/>
      </rPr>
      <t xml:space="preserve">                   </t>
    </r>
    <r>
      <rPr>
        <sz val="10.5"/>
        <color theme="1"/>
        <rFont val="宋体"/>
        <charset val="134"/>
      </rPr>
      <t>）</t>
    </r>
    <r>
      <rPr>
        <sz val="10.5"/>
        <color theme="1"/>
        <rFont val="Times New Roman"/>
        <charset val="134"/>
      </rPr>
      <t xml:space="preserve"> </t>
    </r>
  </si>
  <si>
    <r>
      <rPr>
        <sz val="10.5"/>
        <color theme="1"/>
        <rFont val="Times New Roman"/>
        <charset val="134"/>
      </rPr>
      <t xml:space="preserve">    </t>
    </r>
    <r>
      <rPr>
        <sz val="10.5"/>
        <color theme="1"/>
        <rFont val="宋体"/>
        <charset val="134"/>
      </rPr>
      <t>常见疾病（举例：</t>
    </r>
    <r>
      <rPr>
        <sz val="10.5"/>
        <color theme="1"/>
        <rFont val="Times New Roman"/>
        <charset val="134"/>
      </rPr>
      <t xml:space="preserve">    </t>
    </r>
    <r>
      <rPr>
        <sz val="10.5"/>
        <color theme="1"/>
        <rFont val="宋体"/>
        <charset val="134"/>
      </rPr>
      <t>产后尿潴留、产后泌乳、镇痛、产后腰背痛、</t>
    </r>
    <r>
      <rPr>
        <sz val="10.5"/>
        <color theme="1"/>
        <rFont val="Times New Roman"/>
        <charset val="134"/>
      </rPr>
      <t xml:space="preserve">                          </t>
    </r>
    <r>
      <rPr>
        <sz val="10.5"/>
        <color theme="1"/>
        <rFont val="宋体"/>
        <charset val="134"/>
      </rPr>
      <t>）</t>
    </r>
  </si>
  <si>
    <r>
      <rPr>
        <sz val="10.5"/>
        <color theme="1"/>
        <rFont val="Times New Roman"/>
        <charset val="134"/>
      </rPr>
      <t xml:space="preserve">    </t>
    </r>
    <r>
      <rPr>
        <sz val="10.5"/>
        <color theme="1"/>
        <rFont val="宋体"/>
        <charset val="134"/>
      </rPr>
      <t>提高服务效率</t>
    </r>
    <r>
      <rPr>
        <sz val="10.5"/>
        <color theme="1"/>
        <rFont val="Times New Roman"/>
        <charset val="134"/>
      </rPr>
      <t xml:space="preserve">        </t>
    </r>
    <r>
      <rPr>
        <sz val="10.5"/>
        <color theme="1"/>
        <rFont val="宋体"/>
        <charset val="134"/>
      </rPr>
      <t>降低风险</t>
    </r>
    <r>
      <rPr>
        <sz val="10.5"/>
        <color theme="1"/>
        <rFont val="Times New Roman"/>
        <charset val="134"/>
      </rPr>
      <t xml:space="preserve">             </t>
    </r>
    <r>
      <rPr>
        <sz val="10.5"/>
        <color theme="1"/>
        <rFont val="宋体"/>
        <charset val="134"/>
      </rPr>
      <t>标准规范要求</t>
    </r>
    <r>
      <rPr>
        <sz val="10.5"/>
        <color theme="1"/>
        <rFont val="Times New Roman"/>
        <charset val="134"/>
      </rPr>
      <t xml:space="preserve">             </t>
    </r>
    <r>
      <rPr>
        <sz val="10.5"/>
        <color theme="1"/>
        <rFont val="宋体"/>
        <charset val="134"/>
      </rPr>
      <t>其他</t>
    </r>
  </si>
  <si>
    <r>
      <rPr>
        <b/>
        <sz val="12"/>
        <color theme="1"/>
        <rFont val="Times New Roman"/>
        <charset val="134"/>
      </rPr>
      <t>5.</t>
    </r>
    <r>
      <rPr>
        <b/>
        <sz val="12"/>
        <color theme="1"/>
        <rFont val="宋体"/>
        <charset val="134"/>
      </rPr>
      <t>技术先进性：</t>
    </r>
  </si>
  <si>
    <r>
      <rPr>
        <sz val="10.5"/>
        <color theme="1"/>
        <rFont val="Times New Roman"/>
        <charset val="134"/>
      </rPr>
      <t xml:space="preserve">    </t>
    </r>
    <r>
      <rPr>
        <sz val="10.5"/>
        <color theme="1"/>
        <rFont val="宋体"/>
        <charset val="134"/>
      </rPr>
      <t>国际领先</t>
    </r>
    <r>
      <rPr>
        <sz val="10.5"/>
        <color theme="1"/>
        <rFont val="Times New Roman"/>
        <charset val="134"/>
      </rPr>
      <t xml:space="preserve">                  </t>
    </r>
    <r>
      <rPr>
        <sz val="10.5"/>
        <color theme="1"/>
        <rFont val="宋体"/>
        <charset val="134"/>
      </rPr>
      <t>国内领先</t>
    </r>
    <r>
      <rPr>
        <sz val="10.5"/>
        <color theme="1"/>
        <rFont val="Times New Roman"/>
        <charset val="134"/>
      </rPr>
      <t xml:space="preserve">             </t>
    </r>
    <r>
      <rPr>
        <sz val="10.5"/>
        <color theme="1"/>
        <rFont val="宋体"/>
        <charset val="134"/>
      </rPr>
      <t>技术成熟期</t>
    </r>
    <r>
      <rPr>
        <sz val="10.5"/>
        <color theme="1"/>
        <rFont val="Times New Roman"/>
        <charset val="134"/>
      </rPr>
      <t xml:space="preserve">             </t>
    </r>
    <r>
      <rPr>
        <sz val="10.5"/>
        <color theme="1"/>
        <rFont val="宋体"/>
        <charset val="134"/>
      </rPr>
      <t>淘汰期</t>
    </r>
    <r>
      <rPr>
        <sz val="10.5"/>
        <color theme="1"/>
        <rFont val="Times New Roman"/>
        <charset val="134"/>
      </rPr>
      <t xml:space="preserve">              </t>
    </r>
    <r>
      <rPr>
        <sz val="10.5"/>
        <color theme="1"/>
        <rFont val="宋体"/>
        <charset val="134"/>
      </rPr>
      <t>其他</t>
    </r>
  </si>
  <si>
    <r>
      <rPr>
        <b/>
        <sz val="12"/>
        <color theme="1"/>
        <rFont val="Times New Roman"/>
        <charset val="134"/>
      </rPr>
      <t>6.</t>
    </r>
    <r>
      <rPr>
        <b/>
        <sz val="12"/>
        <color theme="1"/>
        <rFont val="宋体"/>
        <charset val="134"/>
      </rPr>
      <t>技术特征：</t>
    </r>
  </si>
  <si>
    <r>
      <rPr>
        <sz val="10.5"/>
        <color theme="1"/>
        <rFont val="Times New Roman"/>
        <charset val="134"/>
      </rPr>
      <t xml:space="preserve">    </t>
    </r>
    <r>
      <rPr>
        <sz val="10.5"/>
        <color theme="1"/>
        <rFont val="宋体"/>
        <charset val="134"/>
      </rPr>
      <t>新技术开展</t>
    </r>
    <r>
      <rPr>
        <sz val="10.5"/>
        <color theme="1"/>
        <rFont val="Times New Roman"/>
        <charset val="134"/>
      </rPr>
      <t xml:space="preserve">             </t>
    </r>
    <r>
      <rPr>
        <sz val="10.5"/>
        <color theme="1"/>
        <rFont val="宋体"/>
        <charset val="134"/>
      </rPr>
      <t>新技术普及</t>
    </r>
    <r>
      <rPr>
        <sz val="10.5"/>
        <color theme="1"/>
        <rFont val="Times New Roman"/>
        <charset val="134"/>
      </rPr>
      <t xml:space="preserve">               </t>
    </r>
    <r>
      <rPr>
        <sz val="10.5"/>
        <color theme="1"/>
        <rFont val="宋体"/>
        <charset val="134"/>
      </rPr>
      <t>常规技术应用</t>
    </r>
    <r>
      <rPr>
        <sz val="10.5"/>
        <color theme="1"/>
        <rFont val="Times New Roman"/>
        <charset val="134"/>
      </rPr>
      <t xml:space="preserve">  </t>
    </r>
  </si>
  <si>
    <t>人员资质和放置场地</t>
  </si>
  <si>
    <r>
      <rPr>
        <sz val="10.5"/>
        <color theme="1"/>
        <rFont val="宋体"/>
        <charset val="134"/>
      </rPr>
      <t>诊疗技术：</t>
    </r>
    <r>
      <rPr>
        <sz val="10.5"/>
        <color theme="1"/>
        <rFont val="Times New Roman"/>
        <charset val="134"/>
      </rPr>
      <t xml:space="preserve">     </t>
    </r>
    <r>
      <rPr>
        <sz val="10.5"/>
        <color theme="1"/>
        <rFont val="宋体"/>
        <charset val="134"/>
      </rPr>
      <t>具备</t>
    </r>
    <r>
      <rPr>
        <sz val="10.5"/>
        <color theme="1"/>
        <rFont val="Times New Roman"/>
        <charset val="134"/>
      </rPr>
      <t xml:space="preserve">       </t>
    </r>
    <r>
      <rPr>
        <sz val="10.5"/>
        <color theme="1"/>
        <rFont val="宋体"/>
        <charset val="134"/>
      </rPr>
      <t>不具备</t>
    </r>
    <r>
      <rPr>
        <sz val="10.5"/>
        <color theme="1"/>
        <rFont val="Times New Roman"/>
        <charset val="134"/>
      </rPr>
      <t xml:space="preserve"> </t>
    </r>
    <r>
      <rPr>
        <sz val="10.5"/>
        <color theme="1"/>
        <rFont val="宋体"/>
        <charset val="134"/>
      </rPr>
      <t>（解决方法：</t>
    </r>
    <r>
      <rPr>
        <sz val="10.5"/>
        <color theme="1"/>
        <rFont val="Times New Roman"/>
        <charset val="134"/>
      </rPr>
      <t xml:space="preserve">                 </t>
    </r>
    <r>
      <rPr>
        <sz val="10.5"/>
        <color theme="1"/>
        <rFont val="宋体"/>
        <charset val="134"/>
      </rPr>
      <t>）</t>
    </r>
  </si>
  <si>
    <r>
      <rPr>
        <sz val="10.5"/>
        <color theme="1"/>
        <rFont val="宋体"/>
        <charset val="134"/>
      </rPr>
      <t>人员资质：</t>
    </r>
    <r>
      <rPr>
        <sz val="10.5"/>
        <color theme="1"/>
        <rFont val="Times New Roman"/>
        <charset val="134"/>
      </rPr>
      <t xml:space="preserve">     </t>
    </r>
    <r>
      <rPr>
        <sz val="10.5"/>
        <color theme="1"/>
        <rFont val="宋体"/>
        <charset val="134"/>
      </rPr>
      <t>具备</t>
    </r>
    <r>
      <rPr>
        <sz val="10.5"/>
        <color theme="1"/>
        <rFont val="Times New Roman"/>
        <charset val="134"/>
      </rPr>
      <t xml:space="preserve">       </t>
    </r>
    <r>
      <rPr>
        <sz val="10.5"/>
        <color theme="1"/>
        <rFont val="宋体"/>
        <charset val="134"/>
      </rPr>
      <t>不具备（解决方法：</t>
    </r>
    <r>
      <rPr>
        <sz val="10.5"/>
        <color theme="1"/>
        <rFont val="Times New Roman"/>
        <charset val="134"/>
      </rPr>
      <t xml:space="preserve">                 </t>
    </r>
    <r>
      <rPr>
        <sz val="10.5"/>
        <color theme="1"/>
        <rFont val="宋体"/>
        <charset val="134"/>
      </rPr>
      <t>）</t>
    </r>
  </si>
  <si>
    <r>
      <rPr>
        <sz val="10.5"/>
        <color theme="1"/>
        <rFont val="宋体"/>
        <charset val="134"/>
      </rPr>
      <t>场地条件：</t>
    </r>
    <r>
      <rPr>
        <sz val="10.5"/>
        <color theme="1"/>
        <rFont val="Times New Roman"/>
        <charset val="134"/>
      </rPr>
      <t xml:space="preserve">     </t>
    </r>
    <r>
      <rPr>
        <sz val="10.5"/>
        <color theme="1"/>
        <rFont val="宋体"/>
        <charset val="134"/>
      </rPr>
      <t>具备</t>
    </r>
    <r>
      <rPr>
        <sz val="10.5"/>
        <color theme="1"/>
        <rFont val="Times New Roman"/>
        <charset val="134"/>
      </rPr>
      <t xml:space="preserve">       </t>
    </r>
    <r>
      <rPr>
        <sz val="10.5"/>
        <color theme="1"/>
        <rFont val="宋体"/>
        <charset val="134"/>
      </rPr>
      <t>不具备（解决方法：</t>
    </r>
    <r>
      <rPr>
        <sz val="10.5"/>
        <color theme="1"/>
        <rFont val="Times New Roman"/>
        <charset val="134"/>
      </rPr>
      <t xml:space="preserve">                 </t>
    </r>
    <r>
      <rPr>
        <sz val="10.5"/>
        <color theme="1"/>
        <rFont val="宋体"/>
        <charset val="134"/>
      </rPr>
      <t>）</t>
    </r>
    <r>
      <rPr>
        <sz val="10.5"/>
        <color theme="1"/>
        <rFont val="Times New Roman"/>
        <charset val="134"/>
      </rPr>
      <t xml:space="preserve"> </t>
    </r>
  </si>
  <si>
    <t>预算编制依据</t>
  </si>
  <si>
    <t>设备普及率，同级医院使用情况（列举三家以上同类产品品牌型号、性能、配置、已售价格及使用单位）</t>
  </si>
  <si>
    <t>品牌</t>
  </si>
  <si>
    <t xml:space="preserve">规格    </t>
  </si>
  <si>
    <t>价格</t>
  </si>
  <si>
    <t>使用单位</t>
  </si>
  <si>
    <t>圆爱康</t>
  </si>
  <si>
    <t xml:space="preserve">低频电刺激治疗仪（智能控制版） ESA-V01 </t>
  </si>
  <si>
    <t>12万</t>
  </si>
  <si>
    <t>珠海市妇幼保健院</t>
  </si>
  <si>
    <t>中山市坦洲人民医院</t>
  </si>
  <si>
    <t>中山三院大沙街社区</t>
  </si>
  <si>
    <t>依士文</t>
  </si>
  <si>
    <t xml:space="preserve">便携盆底修复系统 </t>
  </si>
  <si>
    <t>20万</t>
  </si>
  <si>
    <t>丰得利</t>
  </si>
  <si>
    <t>盆底康复仪</t>
  </si>
  <si>
    <t>25万</t>
  </si>
  <si>
    <t>广西瑞康医</t>
  </si>
  <si>
    <t>北海市妇幼医院</t>
  </si>
  <si>
    <t>云南省中医院</t>
  </si>
  <si>
    <r>
      <rPr>
        <sz val="12"/>
        <color theme="1"/>
        <rFont val="宋体"/>
        <charset val="134"/>
      </rPr>
      <t xml:space="preserve">预期效益
</t>
    </r>
    <r>
      <rPr>
        <sz val="12"/>
        <color rgb="FFFF0000"/>
        <rFont val="宋体"/>
        <charset val="134"/>
      </rPr>
      <t>（黄色单元格请勿修改）</t>
    </r>
  </si>
  <si>
    <r>
      <rPr>
        <b/>
        <sz val="10"/>
        <color theme="1"/>
        <rFont val="宋体"/>
        <charset val="134"/>
      </rPr>
      <t>医疗效益：
  促进科室产后康复及盆底功能障碍诊疗的发展，扩大相关盆底功能障碍性疾病的诊疗范围，同时为人流术后患者提供更为贴心便利的医疗服务，便携式的床边医疗服务提高患者体验感与满意度，对于患者，可降低盆底疾病的发病率，改善患者身心健康及提升生活质量。对于科室，一台主机控制多台设备，操作简便，提高了科室设备的利用率，同时降低了医护的工作强度，节约了科室的人力成本，可高效的解决临床、科研、教学的需求，推进产后康复和生殖养护、盆底诊疗领域整体技术水平的发展。必要时可满足患者出院后的居家康复需求
收费依据（是否可单独收费，收费编码）：项目可单独收费
编号</t>
    </r>
    <r>
      <rPr>
        <b/>
        <sz val="10"/>
        <color theme="1"/>
        <rFont val="Arial"/>
        <charset val="134"/>
      </rPr>
      <t xml:space="preserve">	</t>
    </r>
    <r>
      <rPr>
        <b/>
        <sz val="10"/>
        <color theme="1"/>
        <rFont val="宋体"/>
        <charset val="134"/>
      </rPr>
      <t>费用基础项目</t>
    </r>
    <r>
      <rPr>
        <b/>
        <sz val="10"/>
        <color theme="1"/>
        <rFont val="Arial"/>
        <charset val="134"/>
      </rPr>
      <t xml:space="preserve">	</t>
    </r>
    <r>
      <rPr>
        <b/>
        <sz val="10"/>
        <color theme="1"/>
        <rFont val="宋体"/>
        <charset val="134"/>
      </rPr>
      <t>收费编码</t>
    </r>
    <r>
      <rPr>
        <b/>
        <sz val="10"/>
        <color theme="1"/>
        <rFont val="Arial"/>
        <charset val="134"/>
      </rPr>
      <t xml:space="preserve">	</t>
    </r>
    <r>
      <rPr>
        <b/>
        <sz val="10"/>
        <color theme="1"/>
        <rFont val="宋体"/>
        <charset val="134"/>
      </rPr>
      <t>计价单位</t>
    </r>
    <r>
      <rPr>
        <b/>
        <sz val="10"/>
        <color theme="1"/>
        <rFont val="Arial"/>
        <charset val="134"/>
      </rPr>
      <t xml:space="preserve">	</t>
    </r>
    <r>
      <rPr>
        <b/>
        <sz val="10"/>
        <color theme="1"/>
        <rFont val="宋体"/>
        <charset val="134"/>
      </rPr>
      <t>数量</t>
    </r>
    <r>
      <rPr>
        <b/>
        <sz val="10"/>
        <color theme="1"/>
        <rFont val="Arial"/>
        <charset val="134"/>
      </rPr>
      <t xml:space="preserve">	</t>
    </r>
    <r>
      <rPr>
        <b/>
        <sz val="10"/>
        <color theme="1"/>
        <rFont val="宋体"/>
        <charset val="134"/>
      </rPr>
      <t>指导价</t>
    </r>
    <r>
      <rPr>
        <b/>
        <sz val="10"/>
        <color theme="1"/>
        <rFont val="Arial"/>
        <charset val="134"/>
      </rPr>
      <t xml:space="preserve">	</t>
    </r>
    <r>
      <rPr>
        <b/>
        <sz val="10"/>
        <color theme="1"/>
        <rFont val="宋体"/>
        <charset val="134"/>
      </rPr>
      <t>说明
1</t>
    </r>
    <r>
      <rPr>
        <b/>
        <sz val="10"/>
        <color theme="1"/>
        <rFont val="Arial"/>
        <charset val="134"/>
      </rPr>
      <t xml:space="preserve">	</t>
    </r>
    <r>
      <rPr>
        <b/>
        <sz val="10"/>
        <color theme="1"/>
        <rFont val="宋体"/>
        <charset val="134"/>
      </rPr>
      <t>神经肌肉电刺激治疗</t>
    </r>
    <r>
      <rPr>
        <b/>
        <sz val="10"/>
        <color theme="1"/>
        <rFont val="Arial"/>
        <charset val="134"/>
      </rPr>
      <t xml:space="preserve">	</t>
    </r>
    <r>
      <rPr>
        <b/>
        <sz val="10"/>
        <color theme="1"/>
        <rFont val="宋体"/>
        <charset val="134"/>
      </rPr>
      <t xml:space="preserve">340100009.2 </t>
    </r>
    <r>
      <rPr>
        <b/>
        <sz val="10"/>
        <color theme="1"/>
        <rFont val="Arial"/>
        <charset val="134"/>
      </rPr>
      <t xml:space="preserve">	</t>
    </r>
    <r>
      <rPr>
        <b/>
        <sz val="10"/>
        <color theme="1"/>
        <rFont val="宋体"/>
        <charset val="134"/>
      </rPr>
      <t>每部位</t>
    </r>
    <r>
      <rPr>
        <b/>
        <sz val="10"/>
        <color theme="1"/>
        <rFont val="Arial"/>
        <charset val="134"/>
      </rPr>
      <t xml:space="preserve">	</t>
    </r>
    <r>
      <rPr>
        <b/>
        <sz val="10"/>
        <color theme="1"/>
        <rFont val="宋体"/>
        <charset val="134"/>
      </rPr>
      <t>1</t>
    </r>
    <r>
      <rPr>
        <b/>
        <sz val="10"/>
        <color theme="1"/>
        <rFont val="Arial"/>
        <charset val="134"/>
      </rPr>
      <t xml:space="preserve">	</t>
    </r>
    <r>
      <rPr>
        <b/>
        <sz val="10"/>
        <color theme="1"/>
        <rFont val="宋体"/>
        <charset val="134"/>
      </rPr>
      <t>18.00</t>
    </r>
    <r>
      <rPr>
        <b/>
        <sz val="10"/>
        <color theme="1"/>
        <rFont val="Arial"/>
        <charset val="134"/>
      </rPr>
      <t xml:space="preserve">	</t>
    </r>
    <r>
      <rPr>
        <b/>
        <sz val="10"/>
        <color theme="1"/>
        <rFont val="宋体"/>
        <charset val="134"/>
      </rPr>
      <t>盆底项目用
2.低频脉冲电治疗</t>
    </r>
    <r>
      <rPr>
        <b/>
        <sz val="10"/>
        <color theme="1"/>
        <rFont val="Arial"/>
        <charset val="134"/>
      </rPr>
      <t xml:space="preserve">	</t>
    </r>
    <r>
      <rPr>
        <b/>
        <sz val="10"/>
        <color theme="1"/>
        <rFont val="宋体"/>
        <charset val="134"/>
      </rPr>
      <t>340100009      每</t>
    </r>
    <r>
      <rPr>
        <b/>
        <sz val="10"/>
        <color theme="1"/>
        <rFont val="Arial"/>
        <charset val="134"/>
      </rPr>
      <t xml:space="preserve">	</t>
    </r>
    <r>
      <rPr>
        <b/>
        <sz val="10"/>
        <color theme="1"/>
        <rFont val="宋体"/>
        <charset val="134"/>
      </rPr>
      <t>次</t>
    </r>
    <r>
      <rPr>
        <b/>
        <sz val="10"/>
        <color theme="1"/>
        <rFont val="Arial"/>
        <charset val="134"/>
      </rPr>
      <t xml:space="preserve">	</t>
    </r>
    <r>
      <rPr>
        <b/>
        <sz val="10"/>
        <color theme="1"/>
        <rFont val="宋体"/>
        <charset val="134"/>
      </rPr>
      <t>1</t>
    </r>
    <r>
      <rPr>
        <b/>
        <sz val="10"/>
        <color theme="1"/>
        <rFont val="Arial"/>
        <charset val="134"/>
      </rPr>
      <t xml:space="preserve">	</t>
    </r>
    <r>
      <rPr>
        <b/>
        <sz val="10"/>
        <color theme="1"/>
        <rFont val="宋体"/>
        <charset val="134"/>
      </rPr>
      <t>80.00</t>
    </r>
    <r>
      <rPr>
        <b/>
        <sz val="10"/>
        <color theme="1"/>
        <rFont val="Arial"/>
        <charset val="134"/>
      </rPr>
      <t xml:space="preserve">	</t>
    </r>
    <r>
      <rPr>
        <b/>
        <sz val="10"/>
        <color theme="1"/>
        <rFont val="宋体"/>
        <charset val="134"/>
      </rPr>
      <t xml:space="preserve">
</t>
    </r>
    <r>
      <rPr>
        <b/>
        <sz val="12"/>
        <color theme="1"/>
        <rFont val="宋体"/>
        <charset val="134"/>
      </rPr>
      <t xml:space="preserve">
</t>
    </r>
  </si>
  <si>
    <r>
      <rPr>
        <b/>
        <sz val="12"/>
        <color theme="1"/>
        <rFont val="宋体"/>
        <charset val="134"/>
      </rPr>
      <t>经济效益评估结果</t>
    </r>
    <r>
      <rPr>
        <sz val="10.5"/>
        <color theme="1"/>
        <rFont val="宋体"/>
        <charset val="134"/>
      </rPr>
      <t>（请认真调研，科学合理填报，填报的数据作为采购后绩效考核的基础依据）</t>
    </r>
  </si>
  <si>
    <t>年开展例数：</t>
  </si>
  <si>
    <t>每例诊疗时间（单位：小时,不到1小时精确到小数点后1位数）：</t>
  </si>
  <si>
    <t>每例预估平均收费金额（元）：</t>
  </si>
  <si>
    <t>每例诊疗工作人员类别和操作时间（单位：小时,每例不到1小时精确到小数点后1位数。人员成本：医生200元/小时，护士：120元/小时，技师：,150元/小时，其他：100元/小时。每例需要不同人员配合的填写没类人员的操作时间）</t>
  </si>
  <si>
    <t>人员类别</t>
  </si>
  <si>
    <t>医生</t>
  </si>
  <si>
    <t>技术员</t>
  </si>
  <si>
    <t>护士</t>
  </si>
  <si>
    <t>人力成本
（元/小时）</t>
  </si>
  <si>
    <t>】</t>
  </si>
  <si>
    <t>人员数量</t>
  </si>
  <si>
    <t>操作时间
(小时）</t>
  </si>
  <si>
    <t>是否有耗材</t>
  </si>
  <si>
    <t>是</t>
  </si>
  <si>
    <t>是否为专机专用耗材：</t>
  </si>
  <si>
    <t>耗材是否另外收费</t>
  </si>
  <si>
    <t>每例耗材成本</t>
  </si>
  <si>
    <t>耗材年度预计使用数量</t>
  </si>
  <si>
    <t>10000套</t>
  </si>
  <si>
    <t>折旧期耗材用量</t>
  </si>
  <si>
    <t>年耗材总成本（万元）</t>
  </si>
  <si>
    <t>人力成本(万元)</t>
  </si>
  <si>
    <t>折旧年限</t>
  </si>
  <si>
    <t>年折旧费（万元）</t>
  </si>
  <si>
    <t>年运维费用</t>
  </si>
  <si>
    <t>年收入
（万元）</t>
  </si>
  <si>
    <t>年支出
（万元）</t>
  </si>
  <si>
    <t>年净利润
（万元）</t>
  </si>
  <si>
    <t>成本回收期（年）</t>
  </si>
  <si>
    <t>耗材引进情况</t>
  </si>
  <si>
    <t xml:space="preserve">     已引进         未引进</t>
  </si>
  <si>
    <r>
      <rPr>
        <b/>
        <sz val="12"/>
        <color theme="1"/>
        <rFont val="宋体"/>
        <charset val="134"/>
      </rPr>
      <t xml:space="preserve">教学效益：
   </t>
    </r>
    <r>
      <rPr>
        <b/>
        <sz val="10"/>
        <color theme="1"/>
        <rFont val="宋体"/>
        <charset val="134"/>
      </rPr>
      <t>该设备在院内盆底康复及产后康复治疗提供便携式医疗服务的基础上,同时，可以为有需要的患者提供居家康复，通过互联网+物联网+专业的医疗技术的结合，融合了居家治疗生物反馈电刺激治疗仪，医生通过移动医护端为患者制定个性化治疗方案，在线报告解读、方案调整，患者通过手机APP进行相关的居家康复治疗，达到远程治疗的目的。
   该项目的开展为科室患者提供了一种新的康复方式的选择，实现了将医疗服务延伸至更大范围的覆盖。更好的响应国家卫健委在2030健康中国重点国策中提倡及发展互联网+医疗康复的政策要求。</t>
    </r>
  </si>
  <si>
    <r>
      <rPr>
        <b/>
        <sz val="12"/>
        <color theme="1"/>
        <rFont val="宋体"/>
        <charset val="134"/>
      </rPr>
      <t>科研效益：</t>
    </r>
    <r>
      <rPr>
        <b/>
        <sz val="10"/>
        <color theme="1"/>
        <rFont val="宋体"/>
        <charset val="134"/>
      </rPr>
      <t xml:space="preserve">一台主机控制8台设备的设计，可同时为不同病房的8个患者进行治疗，可满足不同医疗场景的多病种治疗需求，也可根据科室需求多配一个控制主机。同时，该设备可通过互联网+物联网来实现和完善居家康复服务的一种创新的医疗信息化建设方案，该方案的开展可加强全病程周期管理，满足特定病种医疗需求，覆盖对应的居家康复群体，解决缓和患者因时间成本高及距离远等原因不能来院就诊造成的患者流失。
</t>
    </r>
  </si>
  <si>
    <t>总目标绩效指标</t>
  </si>
  <si>
    <t>预算准确度</t>
  </si>
  <si>
    <t>成交价不得超过预算，预算准确度=成交价/预算*100%</t>
  </si>
  <si>
    <t>验收合格率</t>
  </si>
  <si>
    <r>
      <rPr>
        <sz val="11"/>
        <color theme="1"/>
        <rFont val="宋体"/>
        <charset val="134"/>
      </rPr>
      <t>验收指标合格数</t>
    </r>
    <r>
      <rPr>
        <sz val="11"/>
        <color theme="1"/>
        <rFont val="Times New Roman"/>
        <charset val="134"/>
      </rPr>
      <t>/</t>
    </r>
    <r>
      <rPr>
        <sz val="11"/>
        <color theme="1"/>
        <rFont val="宋体"/>
        <charset val="134"/>
      </rPr>
      <t>验收指标总数</t>
    </r>
    <r>
      <rPr>
        <sz val="11"/>
        <color theme="1"/>
        <rFont val="Times New Roman"/>
        <charset val="134"/>
      </rPr>
      <t>*100%</t>
    </r>
  </si>
  <si>
    <t>设备完好率</t>
  </si>
  <si>
    <r>
      <rPr>
        <sz val="10"/>
        <color theme="1"/>
        <rFont val="宋体"/>
        <charset val="134"/>
      </rPr>
      <t>设备完好可用时间</t>
    </r>
    <r>
      <rPr>
        <sz val="10"/>
        <color theme="1"/>
        <rFont val="Times New Roman"/>
        <charset val="134"/>
      </rPr>
      <t>/</t>
    </r>
    <r>
      <rPr>
        <sz val="10"/>
        <color theme="1"/>
        <rFont val="宋体"/>
        <charset val="134"/>
      </rPr>
      <t>（设备故障时间</t>
    </r>
    <r>
      <rPr>
        <sz val="10"/>
        <color theme="1"/>
        <rFont val="Times New Roman"/>
        <charset val="134"/>
      </rPr>
      <t>+</t>
    </r>
    <r>
      <rPr>
        <sz val="10"/>
        <color theme="1"/>
        <rFont val="宋体"/>
        <charset val="134"/>
      </rPr>
      <t>设备完好可用时间）</t>
    </r>
    <r>
      <rPr>
        <sz val="10"/>
        <color theme="1"/>
        <rFont val="Times New Roman"/>
        <charset val="134"/>
      </rPr>
      <t>*100%</t>
    </r>
  </si>
  <si>
    <t>诊疗完成率</t>
  </si>
  <si>
    <r>
      <rPr>
        <sz val="11"/>
        <color theme="1"/>
        <rFont val="宋体"/>
        <charset val="134"/>
      </rPr>
      <t>实际诊疗数量</t>
    </r>
    <r>
      <rPr>
        <sz val="11"/>
        <color theme="1"/>
        <rFont val="Times New Roman"/>
        <charset val="134"/>
      </rPr>
      <t>/</t>
    </r>
    <r>
      <rPr>
        <sz val="11"/>
        <color theme="1"/>
        <rFont val="宋体"/>
        <charset val="134"/>
      </rPr>
      <t>预估诊疗数量</t>
    </r>
    <r>
      <rPr>
        <sz val="11"/>
        <color theme="1"/>
        <rFont val="Times New Roman"/>
        <charset val="134"/>
      </rPr>
      <t>*100%</t>
    </r>
  </si>
  <si>
    <t>功能利用率</t>
  </si>
  <si>
    <r>
      <rPr>
        <sz val="11"/>
        <color theme="1"/>
        <rFont val="宋体"/>
        <charset val="134"/>
      </rPr>
      <t>实际使用功能数</t>
    </r>
    <r>
      <rPr>
        <sz val="11"/>
        <color theme="1"/>
        <rFont val="Times New Roman"/>
        <charset val="134"/>
      </rPr>
      <t>/</t>
    </r>
    <r>
      <rPr>
        <sz val="11"/>
        <color theme="1"/>
        <rFont val="宋体"/>
        <charset val="134"/>
      </rPr>
      <t>设备配置功能数</t>
    </r>
    <r>
      <rPr>
        <sz val="11"/>
        <color theme="1"/>
        <rFont val="Times New Roman"/>
        <charset val="134"/>
      </rPr>
      <t>*100%</t>
    </r>
  </si>
  <si>
    <t>使用满意度</t>
  </si>
  <si>
    <r>
      <rPr>
        <sz val="11"/>
        <color theme="1"/>
        <rFont val="宋体"/>
        <charset val="134"/>
      </rPr>
      <t>接受调查时表示满意的人数</t>
    </r>
    <r>
      <rPr>
        <sz val="11"/>
        <color theme="1"/>
        <rFont val="Times New Roman"/>
        <charset val="134"/>
      </rPr>
      <t>/</t>
    </r>
    <r>
      <rPr>
        <sz val="11"/>
        <color theme="1"/>
        <rFont val="宋体"/>
        <charset val="134"/>
      </rPr>
      <t>项目覆盖范围内接受调查的总人数</t>
    </r>
    <r>
      <rPr>
        <sz val="11"/>
        <color theme="1"/>
        <rFont val="Times New Roman"/>
        <charset val="134"/>
      </rPr>
      <t>*100%</t>
    </r>
  </si>
  <si>
    <t>科室论证结论</t>
  </si>
  <si>
    <t>购置结论：</t>
  </si>
  <si>
    <r>
      <rPr>
        <sz val="11"/>
        <color theme="1"/>
        <rFont val="Times New Roman"/>
        <charset val="134"/>
      </rPr>
      <t xml:space="preserve">    </t>
    </r>
    <r>
      <rPr>
        <sz val="11"/>
        <color theme="1"/>
        <rFont val="宋体"/>
        <charset val="134"/>
      </rPr>
      <t>必须购置</t>
    </r>
    <r>
      <rPr>
        <sz val="11"/>
        <color theme="1"/>
        <rFont val="Times New Roman"/>
        <charset val="134"/>
      </rPr>
      <t xml:space="preserve">    </t>
    </r>
    <r>
      <rPr>
        <sz val="10.5"/>
        <color theme="1"/>
        <rFont val="Times New Roman"/>
        <charset val="134"/>
      </rPr>
      <t xml:space="preserve">             </t>
    </r>
    <r>
      <rPr>
        <sz val="11"/>
        <color theme="1"/>
        <rFont val="宋体"/>
        <charset val="134"/>
      </rPr>
      <t>推荐购置</t>
    </r>
    <r>
      <rPr>
        <sz val="11"/>
        <color theme="1"/>
        <rFont val="Times New Roman"/>
        <charset val="134"/>
      </rPr>
      <t xml:space="preserve">       </t>
    </r>
    <r>
      <rPr>
        <sz val="10.5"/>
        <color theme="1"/>
        <rFont val="Times New Roman"/>
        <charset val="134"/>
      </rPr>
      <t xml:space="preserve">                </t>
    </r>
    <r>
      <rPr>
        <sz val="11"/>
        <color theme="1"/>
        <rFont val="宋体"/>
        <charset val="134"/>
      </rPr>
      <t>不建议购置</t>
    </r>
  </si>
  <si>
    <r>
      <rPr>
        <sz val="11"/>
        <color theme="1"/>
        <rFont val="Times New Roman"/>
        <charset val="134"/>
      </rPr>
      <t xml:space="preserve">   </t>
    </r>
    <r>
      <rPr>
        <sz val="11"/>
        <color theme="1"/>
        <rFont val="宋体"/>
        <charset val="134"/>
      </rPr>
      <t>可以购置，但符合以下情况：</t>
    </r>
    <r>
      <rPr>
        <sz val="11"/>
        <color theme="1"/>
        <rFont val="Times New Roman"/>
        <charset val="134"/>
      </rPr>
      <t xml:space="preserve">                                .</t>
    </r>
  </si>
  <si>
    <t>档次建议：</t>
  </si>
  <si>
    <r>
      <rPr>
        <sz val="11"/>
        <color theme="1"/>
        <rFont val="宋体"/>
        <charset val="134"/>
      </rPr>
      <t>进口：</t>
    </r>
    <r>
      <rPr>
        <sz val="10.5"/>
        <color theme="1"/>
        <rFont val="Times New Roman"/>
        <charset val="134"/>
      </rPr>
      <t xml:space="preserve">        </t>
    </r>
    <r>
      <rPr>
        <sz val="11"/>
        <color theme="1"/>
        <rFont val="宋体"/>
        <charset val="134"/>
      </rPr>
      <t>领先</t>
    </r>
    <r>
      <rPr>
        <sz val="11"/>
        <color theme="1"/>
        <rFont val="Times New Roman"/>
        <charset val="134"/>
      </rPr>
      <t xml:space="preserve">  </t>
    </r>
    <r>
      <rPr>
        <sz val="10.5"/>
        <color theme="1"/>
        <rFont val="Times New Roman"/>
        <charset val="134"/>
      </rPr>
      <t xml:space="preserve">        </t>
    </r>
    <r>
      <rPr>
        <sz val="11"/>
        <color theme="1"/>
        <rFont val="宋体"/>
        <charset val="134"/>
      </rPr>
      <t>中高端</t>
    </r>
    <r>
      <rPr>
        <sz val="11"/>
        <color theme="1"/>
        <rFont val="Times New Roman"/>
        <charset val="134"/>
      </rPr>
      <t xml:space="preserve">  </t>
    </r>
    <r>
      <rPr>
        <sz val="10.5"/>
        <color theme="1"/>
        <rFont val="Times New Roman"/>
        <charset val="134"/>
      </rPr>
      <t xml:space="preserve">         </t>
    </r>
    <r>
      <rPr>
        <sz val="11"/>
        <color theme="1"/>
        <rFont val="宋体"/>
        <charset val="134"/>
      </rPr>
      <t>低端</t>
    </r>
  </si>
  <si>
    <r>
      <rPr>
        <sz val="11"/>
        <color theme="1"/>
        <rFont val="宋体"/>
        <charset val="134"/>
      </rPr>
      <t>国产：</t>
    </r>
    <r>
      <rPr>
        <sz val="11"/>
        <color theme="1"/>
        <rFont val="Times New Roman"/>
        <charset val="134"/>
      </rPr>
      <t xml:space="preserve">        </t>
    </r>
    <r>
      <rPr>
        <sz val="11"/>
        <color theme="1"/>
        <rFont val="宋体"/>
        <charset val="134"/>
      </rPr>
      <t>领先</t>
    </r>
    <r>
      <rPr>
        <sz val="11"/>
        <color theme="1"/>
        <rFont val="Times New Roman"/>
        <charset val="134"/>
      </rPr>
      <t xml:space="preserve"> </t>
    </r>
    <r>
      <rPr>
        <sz val="10.5"/>
        <color theme="1"/>
        <rFont val="Times New Roman"/>
        <charset val="134"/>
      </rPr>
      <t xml:space="preserve">         </t>
    </r>
    <r>
      <rPr>
        <sz val="11"/>
        <color theme="1"/>
        <rFont val="宋体"/>
        <charset val="134"/>
      </rPr>
      <t>中高端</t>
    </r>
    <r>
      <rPr>
        <sz val="11"/>
        <color theme="1"/>
        <rFont val="Times New Roman"/>
        <charset val="134"/>
      </rPr>
      <t xml:space="preserve">           </t>
    </r>
    <r>
      <rPr>
        <sz val="11"/>
        <color theme="1"/>
        <rFont val="宋体"/>
        <charset val="134"/>
      </rPr>
      <t>低端</t>
    </r>
  </si>
  <si>
    <t>论证成员签名：</t>
  </si>
  <si>
    <t>（注：表格不敷请自行加行。）</t>
  </si>
  <si>
    <t>医院固定资产折旧限表</t>
  </si>
  <si>
    <t>设备分类名称</t>
  </si>
  <si>
    <t>备注</t>
  </si>
  <si>
    <t>一、房屋及建筑物</t>
  </si>
  <si>
    <t>1.业务用房</t>
  </si>
  <si>
    <t>钢结构</t>
  </si>
  <si>
    <t>钢筋混凝土结构</t>
  </si>
  <si>
    <t>砖混结构</t>
  </si>
  <si>
    <t>砖木结构</t>
  </si>
  <si>
    <t>2.简易房</t>
  </si>
  <si>
    <t>围墙、货场等</t>
  </si>
  <si>
    <t xml:space="preserve">3.其他建筑物  </t>
  </si>
  <si>
    <t>二、专用设备</t>
  </si>
  <si>
    <t xml:space="preserve">1.医用电子仪器 </t>
  </si>
  <si>
    <t>心、脑、肌电图、监护仪器、除颤器、起博器等</t>
  </si>
  <si>
    <t xml:space="preserve">2.光学仪器及窥镜  </t>
  </si>
  <si>
    <t>验光仪、裂隙灯、手术显微镜、内窥镜等</t>
  </si>
  <si>
    <t xml:space="preserve">3.医用超声仪器  </t>
  </si>
  <si>
    <t>超声诊断仪、超声手术刀、超声治疗机等</t>
  </si>
  <si>
    <t xml:space="preserve">4.激光仪器设备 </t>
  </si>
  <si>
    <t>激光诊断仪、激光治疗仪、激光手术设备等</t>
  </si>
  <si>
    <t>5.医用高频仪器设备</t>
  </si>
  <si>
    <t>高频手术、微波、射频治疗设备等</t>
  </si>
  <si>
    <t>6.物理治疗及体疗设备</t>
  </si>
  <si>
    <t>电疗、光疗、理疗、生物反馈仪等</t>
  </si>
  <si>
    <t xml:space="preserve">7.高压氧舱  </t>
  </si>
  <si>
    <t xml:space="preserve">8.中医仪器设备  </t>
  </si>
  <si>
    <t>脉相仪、舌色相仪、经络仪、穴位治疗机、电针治疗仪器</t>
  </si>
  <si>
    <t>9.医用磁共振设备</t>
  </si>
  <si>
    <t>永磁型、常导型、超导型等</t>
  </si>
  <si>
    <t>10.医用X线设备</t>
  </si>
  <si>
    <t xml:space="preserve"> X射线诊断、治疗设备、CT、造影机、数字减影机、X光刀</t>
  </si>
  <si>
    <t xml:space="preserve">11.高能射线设备 </t>
  </si>
  <si>
    <t>医用加速器、放射治疗模拟机等</t>
  </si>
  <si>
    <t xml:space="preserve">12.医用核素设备 </t>
  </si>
  <si>
    <t>核素扫描仪、SPECT、钴60机、PET等</t>
  </si>
  <si>
    <t>13.临床检验分析仪器</t>
  </si>
  <si>
    <t>电泳仪、色谱仪、生化分析仪、血氧分析仪、蛋白测定仪、肌肝测定仪、酶标仪等</t>
  </si>
  <si>
    <t xml:space="preserve">14.体外循环设备  </t>
  </si>
  <si>
    <t>人工心肺机、透析机等</t>
  </si>
  <si>
    <t xml:space="preserve">15.手术急救设备 </t>
  </si>
  <si>
    <t>手术床、麻醉机、呼吸机、吸引器等</t>
  </si>
  <si>
    <t xml:space="preserve">16.口腔设备 </t>
  </si>
  <si>
    <t xml:space="preserve"> 牙钻、综合治疗台等</t>
  </si>
  <si>
    <t>17.病房护理设备</t>
  </si>
  <si>
    <t xml:space="preserve"> 病床、推车、婴儿暖箱、通讯设备、供氧设备等</t>
  </si>
  <si>
    <t xml:space="preserve">18.消毒设备 </t>
  </si>
  <si>
    <t>各类消毒器、灭菌器等</t>
  </si>
  <si>
    <t xml:space="preserve">19.其他   </t>
  </si>
  <si>
    <t>以上未包括的医药专用设备等</t>
  </si>
  <si>
    <t>三、一般设备</t>
  </si>
  <si>
    <t>1.家具用具及其他类</t>
  </si>
  <si>
    <t>2.交通运输设备</t>
  </si>
  <si>
    <t>3.电子产品及通信设备</t>
  </si>
  <si>
    <t>彩电、摄像机、服务器、计算机、电话、传真等</t>
  </si>
  <si>
    <t>4.电气设备</t>
  </si>
  <si>
    <t xml:space="preserve">  发电机、冰箱、空调、洗衣机等</t>
  </si>
  <si>
    <t>5.通用设备</t>
  </si>
  <si>
    <t>锅炉、电梯、空调机组、冷藏柜等</t>
  </si>
  <si>
    <t xml:space="preserve">四、其他固定资产 </t>
  </si>
  <si>
    <t>1.仪器仪表及量具</t>
  </si>
  <si>
    <t>电表、万能表、显微镜等</t>
  </si>
  <si>
    <t xml:space="preserve">2.其他     </t>
  </si>
  <si>
    <t>以上未包括的其他固定资产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</si>
</sst>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1"/>
      <color theme="1"/>
      <name val="宋体"/>
      <charset val="134"/>
      <scheme val="minor"/>
    </font>
    <font>
      <b/>
      <sz val="14"/>
      <color theme="1"/>
      <name val="宋体"/>
      <charset val="134"/>
      <scheme val="minor"/>
    </font>
    <font>
      <b/>
      <sz val="11"/>
      <color theme="1"/>
      <name val="宋体"/>
      <charset val="134"/>
      <scheme val="minor"/>
    </font>
    <font>
      <sz val="10.5"/>
      <color theme="1"/>
      <name val="宋体"/>
      <charset val="134"/>
    </font>
    <font>
      <b/>
      <sz val="10.5"/>
      <color theme="1"/>
      <name val="宋体"/>
      <charset val="134"/>
    </font>
    <font>
      <b/>
      <sz val="22"/>
      <color theme="1"/>
      <name val="黑体"/>
      <charset val="134"/>
    </font>
    <font>
      <sz val="12"/>
      <color theme="1"/>
      <name val="宋体"/>
      <charset val="134"/>
    </font>
    <font>
      <sz val="12"/>
      <color theme="1"/>
      <name val="Times New Roman"/>
      <charset val="134"/>
    </font>
    <font>
      <sz val="11"/>
      <color theme="1"/>
      <name val="宋体"/>
      <charset val="134"/>
    </font>
    <font>
      <b/>
      <sz val="11"/>
      <color theme="1"/>
      <name val="宋体"/>
      <charset val="134"/>
    </font>
    <font>
      <b/>
      <sz val="12"/>
      <color theme="1"/>
      <name val="Times New Roman"/>
      <charset val="134"/>
    </font>
    <font>
      <sz val="10.5"/>
      <color theme="1"/>
      <name val="Wingdings 2"/>
      <charset val="2"/>
    </font>
    <font>
      <sz val="10.5"/>
      <color theme="1"/>
      <name val="Times New Roman"/>
      <charset val="134"/>
    </font>
    <font>
      <b/>
      <sz val="10"/>
      <color theme="1"/>
      <name val="宋体"/>
      <charset val="134"/>
    </font>
    <font>
      <b/>
      <sz val="12"/>
      <color theme="1"/>
      <name val="宋体"/>
      <charset val="134"/>
    </font>
    <font>
      <b/>
      <sz val="12"/>
      <color rgb="FFFF0000"/>
      <name val="宋体"/>
      <charset val="134"/>
      <scheme val="minor"/>
    </font>
    <font>
      <b/>
      <sz val="10.5"/>
      <color rgb="FFFF0000"/>
      <name val="宋体"/>
      <charset val="134"/>
      <scheme val="minor"/>
    </font>
    <font>
      <b/>
      <sz val="9"/>
      <color rgb="FFFF0000"/>
      <name val="宋体"/>
      <charset val="134"/>
      <scheme val="minor"/>
    </font>
    <font>
      <sz val="9"/>
      <name val="宋体"/>
      <charset val="134"/>
    </font>
    <font>
      <b/>
      <sz val="10.5"/>
      <color rgb="FFFF0000"/>
      <name val="宋体"/>
      <charset val="134"/>
    </font>
    <font>
      <sz val="10.5"/>
      <name val="宋体"/>
      <charset val="134"/>
    </font>
    <font>
      <sz val="9"/>
      <color theme="1"/>
      <name val="宋体"/>
      <charset val="134"/>
    </font>
    <font>
      <sz val="8"/>
      <color theme="1"/>
      <name val="宋体"/>
      <charset val="134"/>
    </font>
    <font>
      <sz val="10"/>
      <color theme="1"/>
      <name val="宋体"/>
      <charset val="134"/>
    </font>
    <font>
      <sz val="11"/>
      <color theme="1"/>
      <name val="Times New Roman"/>
      <charset val="134"/>
    </font>
    <font>
      <sz val="10.5"/>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2"/>
      <color theme="1"/>
      <name val="Times New Roman"/>
      <charset val="134"/>
    </font>
    <font>
      <b/>
      <sz val="11"/>
      <color theme="1"/>
      <name val="Times New Roman"/>
      <charset val="134"/>
    </font>
    <font>
      <sz val="12"/>
      <color rgb="FFFF0000"/>
      <name val="宋体"/>
      <charset val="134"/>
    </font>
    <font>
      <b/>
      <sz val="10"/>
      <color theme="1"/>
      <name val="Arial"/>
      <charset val="134"/>
    </font>
    <font>
      <sz val="10"/>
      <color theme="1"/>
      <name val="Times New Roman"/>
      <charset val="134"/>
    </font>
    <font>
      <b/>
      <sz val="9"/>
      <name val="宋体"/>
      <charset val="134"/>
    </font>
    <font>
      <sz val="9"/>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3" borderId="4"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5" applyNumberFormat="0" applyFill="0" applyAlignment="0" applyProtection="0">
      <alignment vertical="center"/>
    </xf>
    <xf numFmtId="0" fontId="32" fillId="0" borderId="5" applyNumberFormat="0" applyFill="0" applyAlignment="0" applyProtection="0">
      <alignment vertical="center"/>
    </xf>
    <xf numFmtId="0" fontId="33" fillId="0" borderId="6" applyNumberFormat="0" applyFill="0" applyAlignment="0" applyProtection="0">
      <alignment vertical="center"/>
    </xf>
    <xf numFmtId="0" fontId="33" fillId="0" borderId="0" applyNumberFormat="0" applyFill="0" applyBorder="0" applyAlignment="0" applyProtection="0">
      <alignment vertical="center"/>
    </xf>
    <xf numFmtId="0" fontId="34" fillId="4" borderId="7" applyNumberFormat="0" applyAlignment="0" applyProtection="0">
      <alignment vertical="center"/>
    </xf>
    <xf numFmtId="0" fontId="35" fillId="5" borderId="8" applyNumberFormat="0" applyAlignment="0" applyProtection="0">
      <alignment vertical="center"/>
    </xf>
    <xf numFmtId="0" fontId="36" fillId="5" borderId="7" applyNumberFormat="0" applyAlignment="0" applyProtection="0">
      <alignment vertical="center"/>
    </xf>
    <xf numFmtId="0" fontId="37" fillId="6" borderId="9" applyNumberFormat="0" applyAlignment="0" applyProtection="0">
      <alignment vertical="center"/>
    </xf>
    <xf numFmtId="0" fontId="38" fillId="0" borderId="10" applyNumberFormat="0" applyFill="0" applyAlignment="0" applyProtection="0">
      <alignment vertical="center"/>
    </xf>
    <xf numFmtId="0" fontId="39" fillId="0" borderId="11" applyNumberFormat="0" applyFill="0" applyAlignment="0" applyProtection="0">
      <alignment vertical="center"/>
    </xf>
    <xf numFmtId="0" fontId="40" fillId="7" borderId="0" applyNumberFormat="0" applyBorder="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cellStyleXfs>
  <cellXfs count="72">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lignment vertical="center"/>
    </xf>
    <xf numFmtId="0" fontId="0" fillId="0" borderId="0" xfId="0" applyAlignment="1">
      <alignment horizontal="left" vertical="center"/>
    </xf>
    <xf numFmtId="0" fontId="3" fillId="0" borderId="0" xfId="0" applyFont="1" applyAlignment="1">
      <alignment horizontal="center" vertical="center" wrapText="1"/>
    </xf>
    <xf numFmtId="0" fontId="4" fillId="0" borderId="0" xfId="0" applyFont="1">
      <alignment vertical="center"/>
    </xf>
    <xf numFmtId="0" fontId="0" fillId="0" borderId="0" xfId="0" applyFont="1" applyAlignment="1">
      <alignment horizontal="center" vertical="center"/>
    </xf>
    <xf numFmtId="0" fontId="0" fillId="0" borderId="0" xfId="0"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xf>
    <xf numFmtId="0" fontId="7" fillId="0" borderId="1" xfId="0" applyFont="1" applyBorder="1" applyAlignment="1">
      <alignment horizontal="left" vertical="center"/>
    </xf>
    <xf numFmtId="0" fontId="6" fillId="0" borderId="1" xfId="0" applyFont="1" applyBorder="1" applyAlignment="1">
      <alignment horizontal="center" vertical="center"/>
    </xf>
    <xf numFmtId="0" fontId="8" fillId="0" borderId="1" xfId="0" applyFont="1" applyBorder="1" applyAlignment="1">
      <alignment horizontal="center" vertical="center" wrapText="1"/>
    </xf>
    <xf numFmtId="0" fontId="7" fillId="0" borderId="1" xfId="0" applyFont="1" applyBorder="1" applyAlignment="1">
      <alignment horizontal="center" vertical="center"/>
    </xf>
    <xf numFmtId="0" fontId="0" fillId="0" borderId="1" xfId="0" applyBorder="1">
      <alignment vertical="center"/>
    </xf>
    <xf numFmtId="0" fontId="6" fillId="0" borderId="1" xfId="0" applyFont="1" applyBorder="1" applyAlignment="1">
      <alignment horizontal="left" vertical="center" indent="1"/>
    </xf>
    <xf numFmtId="0" fontId="3" fillId="0" borderId="1" xfId="0" applyFont="1" applyBorder="1" applyAlignment="1">
      <alignment horizontal="left" vertical="center" indent="1"/>
    </xf>
    <xf numFmtId="0" fontId="3" fillId="0" borderId="1" xfId="0" applyFont="1" applyBorder="1" applyAlignment="1">
      <alignment horizontal="left" vertical="center" indent="5"/>
    </xf>
    <xf numFmtId="0" fontId="9" fillId="0" borderId="1" xfId="0" applyFont="1" applyBorder="1" applyAlignment="1">
      <alignment horizontal="justify" vertical="center" wrapText="1"/>
    </xf>
    <xf numFmtId="0" fontId="10" fillId="0" borderId="1" xfId="0" applyFont="1" applyBorder="1" applyAlignment="1">
      <alignment horizontal="justify" vertical="center"/>
    </xf>
    <xf numFmtId="0" fontId="3" fillId="0" borderId="1" xfId="0" applyFont="1" applyBorder="1" applyAlignment="1">
      <alignment horizontal="left" vertical="center"/>
    </xf>
    <xf numFmtId="0" fontId="10" fillId="0" borderId="1" xfId="0" applyFont="1" applyBorder="1" applyAlignment="1">
      <alignment horizontal="left" vertical="center"/>
    </xf>
    <xf numFmtId="0" fontId="11" fillId="0" borderId="1" xfId="0" applyFont="1" applyBorder="1" applyAlignment="1">
      <alignment horizontal="justify" vertical="center"/>
    </xf>
    <xf numFmtId="0" fontId="3" fillId="0" borderId="1" xfId="0" applyFont="1" applyBorder="1" applyAlignment="1">
      <alignment horizontal="justify" vertical="center"/>
    </xf>
    <xf numFmtId="0" fontId="12" fillId="0" borderId="1" xfId="0" applyFont="1" applyBorder="1" applyAlignment="1">
      <alignment horizontal="justify" vertical="center"/>
    </xf>
    <xf numFmtId="0" fontId="12" fillId="0" borderId="1" xfId="0" applyFont="1" applyBorder="1" applyAlignment="1">
      <alignment horizontal="left" vertical="center"/>
    </xf>
    <xf numFmtId="0" fontId="11" fillId="0" borderId="1" xfId="0" applyFont="1" applyBorder="1"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13" fillId="0" borderId="1" xfId="0" applyFont="1" applyBorder="1" applyAlignment="1">
      <alignment horizontal="justify" vertical="top" wrapText="1"/>
    </xf>
    <xf numFmtId="0" fontId="14" fillId="0" borderId="1" xfId="0" applyFont="1" applyBorder="1" applyAlignment="1">
      <alignment horizontal="justify" vertical="top" wrapText="1"/>
    </xf>
    <xf numFmtId="0" fontId="14" fillId="0" borderId="1" xfId="0" applyFont="1" applyBorder="1" applyAlignment="1">
      <alignment horizontal="justify" vertical="top"/>
    </xf>
    <xf numFmtId="0" fontId="3" fillId="0" borderId="1" xfId="0" applyFont="1" applyBorder="1" applyAlignment="1">
      <alignment horizontal="justify" vertical="top"/>
    </xf>
    <xf numFmtId="0" fontId="15" fillId="0" borderId="1" xfId="0" applyFont="1" applyBorder="1" applyAlignment="1">
      <alignment horizontal="justify" vertical="top"/>
    </xf>
    <xf numFmtId="0" fontId="3" fillId="0" borderId="1" xfId="0" applyFont="1" applyBorder="1" applyAlignment="1">
      <alignment horizontal="center" vertical="top"/>
    </xf>
    <xf numFmtId="0" fontId="3" fillId="0" borderId="1" xfId="0" applyFont="1" applyBorder="1" applyAlignment="1">
      <alignment horizontal="justify" vertical="top" wrapText="1"/>
    </xf>
    <xf numFmtId="0" fontId="16" fillId="2" borderId="1" xfId="0" applyFont="1" applyFill="1" applyBorder="1" applyAlignment="1">
      <alignment horizontal="center" vertical="center"/>
    </xf>
    <xf numFmtId="0" fontId="16" fillId="0" borderId="1" xfId="0" applyFont="1" applyBorder="1" applyAlignment="1">
      <alignment horizontal="center" vertical="top"/>
    </xf>
    <xf numFmtId="0" fontId="3" fillId="0" borderId="1" xfId="0" applyFont="1" applyBorder="1" applyAlignment="1">
      <alignment horizontal="left" vertical="top"/>
    </xf>
    <xf numFmtId="0" fontId="17" fillId="0" borderId="1" xfId="0" applyFont="1" applyBorder="1" applyAlignment="1">
      <alignment horizontal="center" vertical="top"/>
    </xf>
    <xf numFmtId="0" fontId="18" fillId="0" borderId="1" xfId="0" applyFont="1" applyBorder="1" applyAlignment="1">
      <alignment horizontal="center" vertical="top"/>
    </xf>
    <xf numFmtId="0" fontId="16" fillId="2" borderId="1" xfId="0" applyFont="1" applyFill="1" applyBorder="1" applyAlignment="1">
      <alignment horizontal="center" vertical="top"/>
    </xf>
    <xf numFmtId="0" fontId="18" fillId="0" borderId="1" xfId="0" applyFont="1" applyBorder="1" applyAlignment="1">
      <alignment vertical="top"/>
    </xf>
    <xf numFmtId="0" fontId="19" fillId="2" borderId="1" xfId="0" applyFont="1" applyFill="1" applyBorder="1" applyAlignment="1">
      <alignment horizontal="center" vertical="top"/>
    </xf>
    <xf numFmtId="0" fontId="20" fillId="0" borderId="1" xfId="0" applyFont="1" applyBorder="1" applyAlignment="1">
      <alignment horizontal="center" vertical="top"/>
    </xf>
    <xf numFmtId="0" fontId="3" fillId="0" borderId="1" xfId="0" applyFont="1" applyBorder="1" applyAlignment="1">
      <alignment vertical="top" wrapText="1"/>
    </xf>
    <xf numFmtId="0" fontId="21" fillId="0" borderId="1" xfId="0" applyFont="1" applyBorder="1" applyAlignment="1">
      <alignment vertical="top" wrapText="1"/>
    </xf>
    <xf numFmtId="0" fontId="3" fillId="0" borderId="1" xfId="0" applyFont="1" applyBorder="1" applyAlignment="1">
      <alignment horizontal="center" vertical="center" wrapText="1"/>
    </xf>
    <xf numFmtId="0" fontId="22" fillId="0" borderId="1" xfId="0" applyFont="1" applyBorder="1" applyAlignment="1">
      <alignment horizontal="left" vertical="center" wrapText="1"/>
    </xf>
    <xf numFmtId="0" fontId="10" fillId="0" borderId="1" xfId="0" applyFont="1" applyBorder="1" applyAlignment="1">
      <alignment horizontal="justify" vertical="top"/>
    </xf>
    <xf numFmtId="0" fontId="8" fillId="0" borderId="2" xfId="0" applyFont="1" applyBorder="1" applyAlignment="1">
      <alignment horizontal="center" vertical="center" wrapText="1"/>
    </xf>
    <xf numFmtId="0" fontId="8" fillId="0" borderId="1" xfId="0" applyFont="1" applyBorder="1" applyAlignment="1">
      <alignment horizontal="left" vertical="center"/>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23" fillId="0" borderId="1" xfId="0" applyFont="1" applyBorder="1" applyAlignment="1">
      <alignment horizontal="left" vertical="center"/>
    </xf>
    <xf numFmtId="0" fontId="8" fillId="0" borderId="1" xfId="0" applyFont="1" applyBorder="1" applyAlignment="1">
      <alignment horizontal="left" vertical="center" wrapText="1"/>
    </xf>
    <xf numFmtId="0" fontId="0" fillId="0" borderId="0" xfId="0" applyFont="1">
      <alignment vertical="center"/>
    </xf>
    <xf numFmtId="0" fontId="6" fillId="0" borderId="1" xfId="0" applyFont="1" applyBorder="1" applyAlignment="1">
      <alignment horizontal="left" vertical="center" wrapText="1"/>
    </xf>
    <xf numFmtId="0" fontId="8" fillId="0" borderId="1" xfId="0" applyFont="1" applyBorder="1" applyAlignment="1">
      <alignment horizontal="justify" vertical="top"/>
    </xf>
    <xf numFmtId="0" fontId="24" fillId="0" borderId="1" xfId="0" applyFont="1" applyBorder="1" applyAlignment="1">
      <alignment horizontal="justify" vertical="top"/>
    </xf>
    <xf numFmtId="0" fontId="8" fillId="0" borderId="1" xfId="0" applyFont="1" applyBorder="1" applyAlignment="1">
      <alignment horizontal="left" vertical="top"/>
    </xf>
    <xf numFmtId="0" fontId="25" fillId="0" borderId="0" xfId="0" applyFont="1" applyAlignment="1">
      <alignment vertical="center" wrapText="1"/>
    </xf>
    <xf numFmtId="0" fontId="6" fillId="0" borderId="0" xfId="0" applyFont="1" applyAlignment="1">
      <alignment horizontal="center" vertical="center"/>
    </xf>
    <xf numFmtId="0" fontId="7" fillId="0" borderId="0" xfId="0" applyFont="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checked="Checked"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checked="Checked" noThreeD="1" val="0"/>
</file>

<file path=xl/ctrlProps/ctrlProp4.xml><?xml version="1.0" encoding="utf-8"?>
<formControlPr xmlns="http://schemas.microsoft.com/office/spreadsheetml/2009/9/main" objectType="CheckBox" noThreeD="1" val="0"/>
</file>

<file path=xl/ctrlProps/ctrlProp5.xml><?xml version="1.0" encoding="utf-8"?>
<formControlPr xmlns="http://schemas.microsoft.com/office/spreadsheetml/2009/9/main" objectType="CheckBox" checked="Checked"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checked="Checked"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checked="Checked"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checked="Checked"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checked="Checked" noThreeD="1" val="0"/>
</file>

<file path=xl/ctrlProps/ctrlProp21.xml><?xml version="1.0" encoding="utf-8"?>
<formControlPr xmlns="http://schemas.microsoft.com/office/spreadsheetml/2009/9/main" objectType="CheckBox" checked="Checked" val="0"/>
</file>

<file path=xl/ctrlProps/ctrlProp22.xml><?xml version="1.0" encoding="utf-8"?>
<formControlPr xmlns="http://schemas.microsoft.com/office/spreadsheetml/2009/9/main" objectType="CheckBox" val="0"/>
</file>

<file path=xl/ctrlProps/ctrlProp23.xml><?xml version="1.0" encoding="utf-8"?>
<formControlPr xmlns="http://schemas.microsoft.com/office/spreadsheetml/2009/9/main" objectType="CheckBox" val="0"/>
</file>

<file path=xl/ctrlProps/ctrlProp24.xml><?xml version="1.0" encoding="utf-8"?>
<formControlPr xmlns="http://schemas.microsoft.com/office/spreadsheetml/2009/9/main" objectType="CheckBox" checked="Checked" val="0"/>
</file>

<file path=xl/ctrlProps/ctrlProp25.xml><?xml version="1.0" encoding="utf-8"?>
<formControlPr xmlns="http://schemas.microsoft.com/office/spreadsheetml/2009/9/main" objectType="CheckBox" val="0"/>
</file>

<file path=xl/ctrlProps/ctrlProp26.xml><?xml version="1.0" encoding="utf-8"?>
<formControlPr xmlns="http://schemas.microsoft.com/office/spreadsheetml/2009/9/main" objectType="CheckBox" val="0"/>
</file>

<file path=xl/ctrlProps/ctrlProp27.xml><?xml version="1.0" encoding="utf-8"?>
<formControlPr xmlns="http://schemas.microsoft.com/office/spreadsheetml/2009/9/main" objectType="CheckBox" val="0"/>
</file>

<file path=xl/ctrlProps/ctrlProp28.xml><?xml version="1.0" encoding="utf-8"?>
<formControlPr xmlns="http://schemas.microsoft.com/office/spreadsheetml/2009/9/main" objectType="CheckBox" val="0"/>
</file>

<file path=xl/ctrlProps/ctrlProp29.xml><?xml version="1.0" encoding="utf-8"?>
<formControlPr xmlns="http://schemas.microsoft.com/office/spreadsheetml/2009/9/main" objectType="CheckBox" checked="Checked" val="0"/>
</file>

<file path=xl/ctrlProps/ctrlProp30.xml><?xml version="1.0" encoding="utf-8"?>
<formControlPr xmlns="http://schemas.microsoft.com/office/spreadsheetml/2009/9/main" objectType="CheckBox" val="0"/>
</file>

<file path=xl/ctrlProps/ctrlProp31.xml><?xml version="1.0" encoding="utf-8"?>
<formControlPr xmlns="http://schemas.microsoft.com/office/spreadsheetml/2009/9/main" objectType="CheckBox" val="0"/>
</file>

<file path=xl/ctrlProps/ctrlProp32.xml><?xml version="1.0" encoding="utf-8"?>
<formControlPr xmlns="http://schemas.microsoft.com/office/spreadsheetml/2009/9/main" objectType="CheckBox" val="0"/>
</file>

<file path=xl/ctrlProps/ctrlProp33.xml><?xml version="1.0" encoding="utf-8"?>
<formControlPr xmlns="http://schemas.microsoft.com/office/spreadsheetml/2009/9/main" objectType="CheckBox" val="0"/>
</file>

<file path=xl/ctrlProps/ctrlProp34.xml><?xml version="1.0" encoding="utf-8"?>
<formControlPr xmlns="http://schemas.microsoft.com/office/spreadsheetml/2009/9/main" objectType="CheckBox" checked="Checked" val="0"/>
</file>

<file path=xl/ctrlProps/ctrlProp35.xml><?xml version="1.0" encoding="utf-8"?>
<formControlPr xmlns="http://schemas.microsoft.com/office/spreadsheetml/2009/9/main" objectType="CheckBox" val="0"/>
</file>

<file path=xl/ctrlProps/ctrlProp36.xml><?xml version="1.0" encoding="utf-8"?>
<formControlPr xmlns="http://schemas.microsoft.com/office/spreadsheetml/2009/9/main" objectType="CheckBox" val="0"/>
</file>

<file path=xl/ctrlProps/ctrlProp37.xml><?xml version="1.0" encoding="utf-8"?>
<formControlPr xmlns="http://schemas.microsoft.com/office/spreadsheetml/2009/9/main" objectType="CheckBox" val="0"/>
</file>

<file path=xl/ctrlProps/ctrlProp38.xml><?xml version="1.0" encoding="utf-8"?>
<formControlPr xmlns="http://schemas.microsoft.com/office/spreadsheetml/2009/9/main" objectType="CheckBox" checked="Checked" val="0"/>
</file>

<file path=xl/ctrlProps/ctrlProp39.xml><?xml version="1.0" encoding="utf-8"?>
<formControlPr xmlns="http://schemas.microsoft.com/office/spreadsheetml/2009/9/main" objectType="CheckBox" val="0"/>
</file>

<file path=xl/ctrlProps/ctrlProp40.xml><?xml version="1.0" encoding="utf-8"?>
<formControlPr xmlns="http://schemas.microsoft.com/office/spreadsheetml/2009/9/main" objectType="CheckBox" val="0"/>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695325</xdr:colOff>
          <xdr:row>25</xdr:row>
          <xdr:rowOff>152400</xdr:rowOff>
        </xdr:from>
        <xdr:to>
          <xdr:col>2</xdr:col>
          <xdr:colOff>457200</xdr:colOff>
          <xdr:row>27</xdr:row>
          <xdr:rowOff>9525</xdr:rowOff>
        </xdr:to>
        <xdr:sp>
          <xdr:nvSpPr>
            <xdr:cNvPr id="1046" name="Check Box 22" hidden="1">
              <a:extLst>
                <a:ext uri="{63B3BB69-23CF-44E3-9099-C40C66FF867C}">
                  <a14:compatExt spid="_x0000_s1046"/>
                </a:ext>
              </a:extLst>
            </xdr:cNvPr>
            <xdr:cNvSpPr/>
          </xdr:nvSpPr>
          <xdr:spPr>
            <a:xfrm>
              <a:off x="1523365" y="7477125"/>
              <a:ext cx="676275" cy="20002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25</xdr:row>
          <xdr:rowOff>152400</xdr:rowOff>
        </xdr:from>
        <xdr:to>
          <xdr:col>3</xdr:col>
          <xdr:colOff>257175</xdr:colOff>
          <xdr:row>27</xdr:row>
          <xdr:rowOff>9525</xdr:rowOff>
        </xdr:to>
        <xdr:sp>
          <xdr:nvSpPr>
            <xdr:cNvPr id="1047" name="Check Box 23" hidden="1">
              <a:extLst>
                <a:ext uri="{63B3BB69-23CF-44E3-9099-C40C66FF867C}">
                  <a14:compatExt spid="_x0000_s1047"/>
                </a:ext>
              </a:extLst>
            </xdr:cNvPr>
            <xdr:cNvSpPr/>
          </xdr:nvSpPr>
          <xdr:spPr>
            <a:xfrm>
              <a:off x="2037715" y="7477125"/>
              <a:ext cx="673100" cy="20002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695325</xdr:colOff>
          <xdr:row>26</xdr:row>
          <xdr:rowOff>152400</xdr:rowOff>
        </xdr:from>
        <xdr:to>
          <xdr:col>2</xdr:col>
          <xdr:colOff>457200</xdr:colOff>
          <xdr:row>28</xdr:row>
          <xdr:rowOff>9525</xdr:rowOff>
        </xdr:to>
        <xdr:sp>
          <xdr:nvSpPr>
            <xdr:cNvPr id="1048" name="Check Box 24" hidden="1">
              <a:extLst>
                <a:ext uri="{63B3BB69-23CF-44E3-9099-C40C66FF867C}">
                  <a14:compatExt spid="_x0000_s1048"/>
                </a:ext>
              </a:extLst>
            </xdr:cNvPr>
            <xdr:cNvSpPr/>
          </xdr:nvSpPr>
          <xdr:spPr>
            <a:xfrm>
              <a:off x="1523365" y="7648575"/>
              <a:ext cx="676275" cy="20002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26</xdr:row>
          <xdr:rowOff>161925</xdr:rowOff>
        </xdr:from>
        <xdr:to>
          <xdr:col>3</xdr:col>
          <xdr:colOff>257175</xdr:colOff>
          <xdr:row>28</xdr:row>
          <xdr:rowOff>23813</xdr:rowOff>
        </xdr:to>
        <xdr:sp>
          <xdr:nvSpPr>
            <xdr:cNvPr id="1049" name="Check Box 25" hidden="1">
              <a:extLst>
                <a:ext uri="{63B3BB69-23CF-44E3-9099-C40C66FF867C}">
                  <a14:compatExt spid="_x0000_s1049"/>
                </a:ext>
              </a:extLst>
            </xdr:cNvPr>
            <xdr:cNvSpPr/>
          </xdr:nvSpPr>
          <xdr:spPr>
            <a:xfrm>
              <a:off x="2037715" y="7658100"/>
              <a:ext cx="673100" cy="20447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695325</xdr:colOff>
          <xdr:row>27</xdr:row>
          <xdr:rowOff>142875</xdr:rowOff>
        </xdr:from>
        <xdr:to>
          <xdr:col>2</xdr:col>
          <xdr:colOff>457200</xdr:colOff>
          <xdr:row>29</xdr:row>
          <xdr:rowOff>28575</xdr:rowOff>
        </xdr:to>
        <xdr:sp>
          <xdr:nvSpPr>
            <xdr:cNvPr id="1050" name="Check Box 26" hidden="1">
              <a:extLst>
                <a:ext uri="{63B3BB69-23CF-44E3-9099-C40C66FF867C}">
                  <a14:compatExt spid="_x0000_s1050"/>
                </a:ext>
              </a:extLst>
            </xdr:cNvPr>
            <xdr:cNvSpPr/>
          </xdr:nvSpPr>
          <xdr:spPr>
            <a:xfrm>
              <a:off x="1523365" y="7810500"/>
              <a:ext cx="676275" cy="2286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27</xdr:row>
          <xdr:rowOff>161925</xdr:rowOff>
        </xdr:from>
        <xdr:to>
          <xdr:col>3</xdr:col>
          <xdr:colOff>257175</xdr:colOff>
          <xdr:row>29</xdr:row>
          <xdr:rowOff>23813</xdr:rowOff>
        </xdr:to>
        <xdr:sp>
          <xdr:nvSpPr>
            <xdr:cNvPr id="1051" name="Check Box 27" hidden="1">
              <a:extLst>
                <a:ext uri="{63B3BB69-23CF-44E3-9099-C40C66FF867C}">
                  <a14:compatExt spid="_x0000_s1051"/>
                </a:ext>
              </a:extLst>
            </xdr:cNvPr>
            <xdr:cNvSpPr/>
          </xdr:nvSpPr>
          <xdr:spPr>
            <a:xfrm>
              <a:off x="2037715" y="7829550"/>
              <a:ext cx="673100" cy="20447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65</xdr:row>
          <xdr:rowOff>9525</xdr:rowOff>
        </xdr:from>
        <xdr:to>
          <xdr:col>1</xdr:col>
          <xdr:colOff>714375</xdr:colOff>
          <xdr:row>66</xdr:row>
          <xdr:rowOff>23813</xdr:rowOff>
        </xdr:to>
        <xdr:sp>
          <xdr:nvSpPr>
            <xdr:cNvPr id="1052" name="Check Box 28" hidden="1">
              <a:extLst>
                <a:ext uri="{63B3BB69-23CF-44E3-9099-C40C66FF867C}">
                  <a14:compatExt spid="_x0000_s1052"/>
                </a:ext>
              </a:extLst>
            </xdr:cNvPr>
            <xdr:cNvSpPr/>
          </xdr:nvSpPr>
          <xdr:spPr>
            <a:xfrm>
              <a:off x="866140" y="20634325"/>
              <a:ext cx="676275" cy="20447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65</xdr:row>
          <xdr:rowOff>0</xdr:rowOff>
        </xdr:from>
        <xdr:to>
          <xdr:col>3</xdr:col>
          <xdr:colOff>314325</xdr:colOff>
          <xdr:row>66</xdr:row>
          <xdr:rowOff>9525</xdr:rowOff>
        </xdr:to>
        <xdr:sp>
          <xdr:nvSpPr>
            <xdr:cNvPr id="1053" name="Check Box 29" hidden="1">
              <a:extLst>
                <a:ext uri="{63B3BB69-23CF-44E3-9099-C40C66FF867C}">
                  <a14:compatExt spid="_x0000_s1053"/>
                </a:ext>
              </a:extLst>
            </xdr:cNvPr>
            <xdr:cNvSpPr/>
          </xdr:nvSpPr>
          <xdr:spPr>
            <a:xfrm>
              <a:off x="2094865" y="20624800"/>
              <a:ext cx="673100" cy="20002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381000</xdr:colOff>
          <xdr:row>65</xdr:row>
          <xdr:rowOff>0</xdr:rowOff>
        </xdr:from>
        <xdr:to>
          <xdr:col>5</xdr:col>
          <xdr:colOff>238125</xdr:colOff>
          <xdr:row>66</xdr:row>
          <xdr:rowOff>23813</xdr:rowOff>
        </xdr:to>
        <xdr:sp>
          <xdr:nvSpPr>
            <xdr:cNvPr id="1055" name="Check Box 31" hidden="1">
              <a:extLst>
                <a:ext uri="{63B3BB69-23CF-44E3-9099-C40C66FF867C}">
                  <a14:compatExt spid="_x0000_s1055"/>
                </a:ext>
              </a:extLst>
            </xdr:cNvPr>
            <xdr:cNvSpPr/>
          </xdr:nvSpPr>
          <xdr:spPr>
            <a:xfrm>
              <a:off x="4606290" y="20624800"/>
              <a:ext cx="426085" cy="21399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66</xdr:row>
          <xdr:rowOff>9525</xdr:rowOff>
        </xdr:from>
        <xdr:to>
          <xdr:col>1</xdr:col>
          <xdr:colOff>714375</xdr:colOff>
          <xdr:row>67</xdr:row>
          <xdr:rowOff>23813</xdr:rowOff>
        </xdr:to>
        <xdr:sp>
          <xdr:nvSpPr>
            <xdr:cNvPr id="1056" name="Check Box 32" hidden="1">
              <a:extLst>
                <a:ext uri="{63B3BB69-23CF-44E3-9099-C40C66FF867C}">
                  <a14:compatExt spid="_x0000_s1056"/>
                </a:ext>
              </a:extLst>
            </xdr:cNvPr>
            <xdr:cNvSpPr/>
          </xdr:nvSpPr>
          <xdr:spPr>
            <a:xfrm>
              <a:off x="866140" y="20824825"/>
              <a:ext cx="676275" cy="20447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561975</xdr:colOff>
          <xdr:row>67</xdr:row>
          <xdr:rowOff>152400</xdr:rowOff>
        </xdr:from>
        <xdr:to>
          <xdr:col>2</xdr:col>
          <xdr:colOff>328613</xdr:colOff>
          <xdr:row>69</xdr:row>
          <xdr:rowOff>9525</xdr:rowOff>
        </xdr:to>
        <xdr:sp>
          <xdr:nvSpPr>
            <xdr:cNvPr id="1057" name="Check Box 33" hidden="1">
              <a:extLst>
                <a:ext uri="{63B3BB69-23CF-44E3-9099-C40C66FF867C}">
                  <a14:compatExt spid="_x0000_s1057"/>
                </a:ext>
              </a:extLst>
            </xdr:cNvPr>
            <xdr:cNvSpPr/>
          </xdr:nvSpPr>
          <xdr:spPr>
            <a:xfrm>
              <a:off x="1390015" y="21158200"/>
              <a:ext cx="680720" cy="20002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333375</xdr:colOff>
          <xdr:row>67</xdr:row>
          <xdr:rowOff>161925</xdr:rowOff>
        </xdr:from>
        <xdr:to>
          <xdr:col>3</xdr:col>
          <xdr:colOff>295275</xdr:colOff>
          <xdr:row>69</xdr:row>
          <xdr:rowOff>23813</xdr:rowOff>
        </xdr:to>
        <xdr:sp>
          <xdr:nvSpPr>
            <xdr:cNvPr id="1058" name="Check Box 34" hidden="1">
              <a:extLst>
                <a:ext uri="{63B3BB69-23CF-44E3-9099-C40C66FF867C}">
                  <a14:compatExt spid="_x0000_s1058"/>
                </a:ext>
              </a:extLst>
            </xdr:cNvPr>
            <xdr:cNvSpPr/>
          </xdr:nvSpPr>
          <xdr:spPr>
            <a:xfrm>
              <a:off x="2075815" y="21167725"/>
              <a:ext cx="673100" cy="20447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67</xdr:row>
          <xdr:rowOff>152400</xdr:rowOff>
        </xdr:from>
        <xdr:to>
          <xdr:col>3</xdr:col>
          <xdr:colOff>1213485</xdr:colOff>
          <xdr:row>69</xdr:row>
          <xdr:rowOff>23813</xdr:rowOff>
        </xdr:to>
        <xdr:sp>
          <xdr:nvSpPr>
            <xdr:cNvPr id="1060" name="Check Box 36" hidden="1">
              <a:extLst>
                <a:ext uri="{63B3BB69-23CF-44E3-9099-C40C66FF867C}">
                  <a14:compatExt spid="_x0000_s1060"/>
                </a:ext>
              </a:extLst>
            </xdr:cNvPr>
            <xdr:cNvSpPr/>
          </xdr:nvSpPr>
          <xdr:spPr>
            <a:xfrm>
              <a:off x="2977515" y="21158200"/>
              <a:ext cx="689610" cy="21399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561975</xdr:colOff>
          <xdr:row>68</xdr:row>
          <xdr:rowOff>161925</xdr:rowOff>
        </xdr:from>
        <xdr:to>
          <xdr:col>2</xdr:col>
          <xdr:colOff>328613</xdr:colOff>
          <xdr:row>70</xdr:row>
          <xdr:rowOff>23813</xdr:rowOff>
        </xdr:to>
        <xdr:sp>
          <xdr:nvSpPr>
            <xdr:cNvPr id="1061" name="Check Box 37" hidden="1">
              <a:extLst>
                <a:ext uri="{63B3BB69-23CF-44E3-9099-C40C66FF867C}">
                  <a14:compatExt spid="_x0000_s1061"/>
                </a:ext>
              </a:extLst>
            </xdr:cNvPr>
            <xdr:cNvSpPr/>
          </xdr:nvSpPr>
          <xdr:spPr>
            <a:xfrm>
              <a:off x="1390015" y="21339175"/>
              <a:ext cx="680720" cy="20447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333375</xdr:colOff>
          <xdr:row>68</xdr:row>
          <xdr:rowOff>152400</xdr:rowOff>
        </xdr:from>
        <xdr:to>
          <xdr:col>3</xdr:col>
          <xdr:colOff>295275</xdr:colOff>
          <xdr:row>70</xdr:row>
          <xdr:rowOff>9525</xdr:rowOff>
        </xdr:to>
        <xdr:sp>
          <xdr:nvSpPr>
            <xdr:cNvPr id="1062" name="Check Box 38" hidden="1">
              <a:extLst>
                <a:ext uri="{63B3BB69-23CF-44E3-9099-C40C66FF867C}">
                  <a14:compatExt spid="_x0000_s1062"/>
                </a:ext>
              </a:extLst>
            </xdr:cNvPr>
            <xdr:cNvSpPr/>
          </xdr:nvSpPr>
          <xdr:spPr>
            <a:xfrm>
              <a:off x="2075815" y="21329650"/>
              <a:ext cx="673100" cy="20002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533400</xdr:colOff>
          <xdr:row>68</xdr:row>
          <xdr:rowOff>152400</xdr:rowOff>
        </xdr:from>
        <xdr:to>
          <xdr:col>3</xdr:col>
          <xdr:colOff>1189673</xdr:colOff>
          <xdr:row>70</xdr:row>
          <xdr:rowOff>23813</xdr:rowOff>
        </xdr:to>
        <xdr:sp>
          <xdr:nvSpPr>
            <xdr:cNvPr id="1063" name="Check Box 39" hidden="1">
              <a:extLst>
                <a:ext uri="{63B3BB69-23CF-44E3-9099-C40C66FF867C}">
                  <a14:compatExt spid="_x0000_s1063"/>
                </a:ext>
              </a:extLst>
            </xdr:cNvPr>
            <xdr:cNvSpPr/>
          </xdr:nvSpPr>
          <xdr:spPr>
            <a:xfrm>
              <a:off x="2987040" y="21329650"/>
              <a:ext cx="655955" cy="21399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61913</xdr:colOff>
          <xdr:row>2</xdr:row>
          <xdr:rowOff>190500</xdr:rowOff>
        </xdr:from>
        <xdr:to>
          <xdr:col>8</xdr:col>
          <xdr:colOff>104775</xdr:colOff>
          <xdr:row>4</xdr:row>
          <xdr:rowOff>9525</xdr:rowOff>
        </xdr:to>
        <xdr:sp>
          <xdr:nvSpPr>
            <xdr:cNvPr id="1064" name="Check Box 40" hidden="1">
              <a:extLst>
                <a:ext uri="{63B3BB69-23CF-44E3-9099-C40C66FF867C}">
                  <a14:compatExt spid="_x0000_s1064"/>
                </a:ext>
              </a:extLst>
            </xdr:cNvPr>
            <xdr:cNvSpPr/>
          </xdr:nvSpPr>
          <xdr:spPr>
            <a:xfrm>
              <a:off x="6395720" y="876300"/>
              <a:ext cx="668020" cy="20002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61913</xdr:colOff>
          <xdr:row>4</xdr:row>
          <xdr:rowOff>0</xdr:rowOff>
        </xdr:from>
        <xdr:to>
          <xdr:col>8</xdr:col>
          <xdr:colOff>104775</xdr:colOff>
          <xdr:row>5</xdr:row>
          <xdr:rowOff>0</xdr:rowOff>
        </xdr:to>
        <xdr:sp>
          <xdr:nvSpPr>
            <xdr:cNvPr id="1065" name="Check Box 41" hidden="1">
              <a:extLst>
                <a:ext uri="{63B3BB69-23CF-44E3-9099-C40C66FF867C}">
                  <a14:compatExt spid="_x0000_s1065"/>
                </a:ext>
              </a:extLst>
            </xdr:cNvPr>
            <xdr:cNvSpPr/>
          </xdr:nvSpPr>
          <xdr:spPr>
            <a:xfrm>
              <a:off x="6395720" y="1066800"/>
              <a:ext cx="668020" cy="20002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204788</xdr:colOff>
          <xdr:row>51</xdr:row>
          <xdr:rowOff>304800</xdr:rowOff>
        </xdr:from>
        <xdr:to>
          <xdr:col>6</xdr:col>
          <xdr:colOff>670560</xdr:colOff>
          <xdr:row>53</xdr:row>
          <xdr:rowOff>47625</xdr:rowOff>
        </xdr:to>
        <xdr:sp>
          <xdr:nvSpPr>
            <xdr:cNvPr id="1068" name="Check Box 44" hidden="1">
              <a:extLst>
                <a:ext uri="{63B3BB69-23CF-44E3-9099-C40C66FF867C}">
                  <a14:compatExt spid="_x0000_s1068"/>
                </a:ext>
              </a:extLst>
            </xdr:cNvPr>
            <xdr:cNvSpPr/>
          </xdr:nvSpPr>
          <xdr:spPr>
            <a:xfrm>
              <a:off x="5709920" y="15654655"/>
              <a:ext cx="466090" cy="23812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50</xdr:row>
          <xdr:rowOff>295275</xdr:rowOff>
        </xdr:from>
        <xdr:to>
          <xdr:col>8</xdr:col>
          <xdr:colOff>433388</xdr:colOff>
          <xdr:row>51</xdr:row>
          <xdr:rowOff>252413</xdr:rowOff>
        </xdr:to>
        <xdr:sp>
          <xdr:nvSpPr>
            <xdr:cNvPr id="1069" name="Check Box 45" hidden="1">
              <a:extLst>
                <a:ext uri="{63B3BB69-23CF-44E3-9099-C40C66FF867C}">
                  <a14:compatExt spid="_x0000_s1069"/>
                </a:ext>
              </a:extLst>
            </xdr:cNvPr>
            <xdr:cNvSpPr/>
          </xdr:nvSpPr>
          <xdr:spPr>
            <a:xfrm>
              <a:off x="6958965" y="15349855"/>
              <a:ext cx="433070" cy="25209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6</xdr:row>
          <xdr:rowOff>180975</xdr:rowOff>
        </xdr:from>
        <xdr:to>
          <xdr:col>1</xdr:col>
          <xdr:colOff>623888</xdr:colOff>
          <xdr:row>8</xdr:row>
          <xdr:rowOff>14288</xdr:rowOff>
        </xdr:to>
        <xdr:sp>
          <xdr:nvSpPr>
            <xdr:cNvPr id="1075" name="Check Box 51" hidden="1">
              <a:extLst>
                <a:ext uri="{63B3BB69-23CF-44E3-9099-C40C66FF867C}">
                  <a14:compatExt spid="_x0000_s1075"/>
                </a:ext>
              </a:extLst>
            </xdr:cNvPr>
            <xdr:cNvSpPr/>
          </xdr:nvSpPr>
          <xdr:spPr>
            <a:xfrm>
              <a:off x="1009015" y="1647825"/>
              <a:ext cx="442595" cy="24257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123825</xdr:colOff>
          <xdr:row>6</xdr:row>
          <xdr:rowOff>138113</xdr:rowOff>
        </xdr:from>
        <xdr:to>
          <xdr:col>3</xdr:col>
          <xdr:colOff>557213</xdr:colOff>
          <xdr:row>8</xdr:row>
          <xdr:rowOff>66675</xdr:rowOff>
        </xdr:to>
        <xdr:sp>
          <xdr:nvSpPr>
            <xdr:cNvPr id="1076" name="Check Box 52" hidden="1">
              <a:extLst>
                <a:ext uri="{63B3BB69-23CF-44E3-9099-C40C66FF867C}">
                  <a14:compatExt spid="_x0000_s1076"/>
                </a:ext>
              </a:extLst>
            </xdr:cNvPr>
            <xdr:cNvSpPr/>
          </xdr:nvSpPr>
          <xdr:spPr>
            <a:xfrm>
              <a:off x="2577465" y="1604645"/>
              <a:ext cx="433070" cy="33845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314325</xdr:colOff>
          <xdr:row>6</xdr:row>
          <xdr:rowOff>180975</xdr:rowOff>
        </xdr:from>
        <xdr:to>
          <xdr:col>6</xdr:col>
          <xdr:colOff>746760</xdr:colOff>
          <xdr:row>8</xdr:row>
          <xdr:rowOff>28575</xdr:rowOff>
        </xdr:to>
        <xdr:sp>
          <xdr:nvSpPr>
            <xdr:cNvPr id="1077" name="Check Box 53" hidden="1">
              <a:extLst>
                <a:ext uri="{63B3BB69-23CF-44E3-9099-C40C66FF867C}">
                  <a14:compatExt spid="_x0000_s1077"/>
                </a:ext>
              </a:extLst>
            </xdr:cNvPr>
            <xdr:cNvSpPr/>
          </xdr:nvSpPr>
          <xdr:spPr>
            <a:xfrm>
              <a:off x="5819775" y="1647825"/>
              <a:ext cx="432435" cy="25717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15</xdr:row>
          <xdr:rowOff>180975</xdr:rowOff>
        </xdr:from>
        <xdr:to>
          <xdr:col>1</xdr:col>
          <xdr:colOff>504825</xdr:colOff>
          <xdr:row>17</xdr:row>
          <xdr:rowOff>23813</xdr:rowOff>
        </xdr:to>
        <xdr:sp>
          <xdr:nvSpPr>
            <xdr:cNvPr id="1078" name="Check Box 54" hidden="1">
              <a:extLst>
                <a:ext uri="{63B3BB69-23CF-44E3-9099-C40C66FF867C}">
                  <a14:compatExt spid="_x0000_s1078"/>
                </a:ext>
              </a:extLst>
            </xdr:cNvPr>
            <xdr:cNvSpPr/>
          </xdr:nvSpPr>
          <xdr:spPr>
            <a:xfrm>
              <a:off x="866140" y="5676900"/>
              <a:ext cx="466725" cy="21399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100013</xdr:colOff>
          <xdr:row>15</xdr:row>
          <xdr:rowOff>180975</xdr:rowOff>
        </xdr:from>
        <xdr:to>
          <xdr:col>3</xdr:col>
          <xdr:colOff>571500</xdr:colOff>
          <xdr:row>17</xdr:row>
          <xdr:rowOff>23813</xdr:rowOff>
        </xdr:to>
        <xdr:sp>
          <xdr:nvSpPr>
            <xdr:cNvPr id="1079" name="Check Box 55" hidden="1">
              <a:extLst>
                <a:ext uri="{63B3BB69-23CF-44E3-9099-C40C66FF867C}">
                  <a14:compatExt spid="_x0000_s1079"/>
                </a:ext>
              </a:extLst>
            </xdr:cNvPr>
            <xdr:cNvSpPr/>
          </xdr:nvSpPr>
          <xdr:spPr>
            <a:xfrm>
              <a:off x="2553335" y="5676900"/>
              <a:ext cx="471805" cy="21399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16</xdr:row>
          <xdr:rowOff>142875</xdr:rowOff>
        </xdr:from>
        <xdr:to>
          <xdr:col>1</xdr:col>
          <xdr:colOff>471488</xdr:colOff>
          <xdr:row>18</xdr:row>
          <xdr:rowOff>28575</xdr:rowOff>
        </xdr:to>
        <xdr:sp>
          <xdr:nvSpPr>
            <xdr:cNvPr id="1080" name="Check Box 56" hidden="1">
              <a:extLst>
                <a:ext uri="{63B3BB69-23CF-44E3-9099-C40C66FF867C}">
                  <a14:compatExt spid="_x0000_s1080"/>
                </a:ext>
              </a:extLst>
            </xdr:cNvPr>
            <xdr:cNvSpPr/>
          </xdr:nvSpPr>
          <xdr:spPr>
            <a:xfrm>
              <a:off x="866140" y="5838825"/>
              <a:ext cx="433070" cy="22860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18</xdr:row>
          <xdr:rowOff>166688</xdr:rowOff>
        </xdr:from>
        <xdr:to>
          <xdr:col>1</xdr:col>
          <xdr:colOff>481013</xdr:colOff>
          <xdr:row>20</xdr:row>
          <xdr:rowOff>28575</xdr:rowOff>
        </xdr:to>
        <xdr:sp>
          <xdr:nvSpPr>
            <xdr:cNvPr id="1081" name="Check Box 57" hidden="1">
              <a:extLst>
                <a:ext uri="{63B3BB69-23CF-44E3-9099-C40C66FF867C}">
                  <a14:compatExt spid="_x0000_s1081"/>
                </a:ext>
              </a:extLst>
            </xdr:cNvPr>
            <xdr:cNvSpPr/>
          </xdr:nvSpPr>
          <xdr:spPr>
            <a:xfrm>
              <a:off x="866140" y="6205220"/>
              <a:ext cx="442595" cy="23368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19</xdr:row>
          <xdr:rowOff>142875</xdr:rowOff>
        </xdr:from>
        <xdr:to>
          <xdr:col>1</xdr:col>
          <xdr:colOff>466725</xdr:colOff>
          <xdr:row>21</xdr:row>
          <xdr:rowOff>23813</xdr:rowOff>
        </xdr:to>
        <xdr:sp>
          <xdr:nvSpPr>
            <xdr:cNvPr id="1082" name="Check Box 58" hidden="1">
              <a:extLst>
                <a:ext uri="{63B3BB69-23CF-44E3-9099-C40C66FF867C}">
                  <a14:compatExt spid="_x0000_s1082"/>
                </a:ext>
              </a:extLst>
            </xdr:cNvPr>
            <xdr:cNvSpPr/>
          </xdr:nvSpPr>
          <xdr:spPr>
            <a:xfrm>
              <a:off x="866140" y="6381750"/>
              <a:ext cx="428625" cy="22352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20</xdr:row>
          <xdr:rowOff>161925</xdr:rowOff>
        </xdr:from>
        <xdr:to>
          <xdr:col>1</xdr:col>
          <xdr:colOff>504825</xdr:colOff>
          <xdr:row>22</xdr:row>
          <xdr:rowOff>28575</xdr:rowOff>
        </xdr:to>
        <xdr:sp>
          <xdr:nvSpPr>
            <xdr:cNvPr id="1089" name="Check Box 65" hidden="1">
              <a:extLst>
                <a:ext uri="{63B3BB69-23CF-44E3-9099-C40C66FF867C}">
                  <a14:compatExt spid="_x0000_s1089"/>
                </a:ext>
              </a:extLst>
            </xdr:cNvPr>
            <xdr:cNvSpPr/>
          </xdr:nvSpPr>
          <xdr:spPr>
            <a:xfrm>
              <a:off x="866140" y="6572250"/>
              <a:ext cx="466725" cy="20955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219075</xdr:colOff>
          <xdr:row>20</xdr:row>
          <xdr:rowOff>138113</xdr:rowOff>
        </xdr:from>
        <xdr:to>
          <xdr:col>3</xdr:col>
          <xdr:colOff>0</xdr:colOff>
          <xdr:row>22</xdr:row>
          <xdr:rowOff>38100</xdr:rowOff>
        </xdr:to>
        <xdr:sp>
          <xdr:nvSpPr>
            <xdr:cNvPr id="1090" name="Check Box 66" hidden="1">
              <a:extLst>
                <a:ext uri="{63B3BB69-23CF-44E3-9099-C40C66FF867C}">
                  <a14:compatExt spid="_x0000_s1090"/>
                </a:ext>
              </a:extLst>
            </xdr:cNvPr>
            <xdr:cNvSpPr/>
          </xdr:nvSpPr>
          <xdr:spPr>
            <a:xfrm>
              <a:off x="1961515" y="6548120"/>
              <a:ext cx="492125" cy="24320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557213</xdr:colOff>
          <xdr:row>20</xdr:row>
          <xdr:rowOff>152400</xdr:rowOff>
        </xdr:from>
        <xdr:to>
          <xdr:col>3</xdr:col>
          <xdr:colOff>1022985</xdr:colOff>
          <xdr:row>22</xdr:row>
          <xdr:rowOff>28575</xdr:rowOff>
        </xdr:to>
        <xdr:sp>
          <xdr:nvSpPr>
            <xdr:cNvPr id="1091" name="Check Box 67" hidden="1">
              <a:extLst>
                <a:ext uri="{63B3BB69-23CF-44E3-9099-C40C66FF867C}">
                  <a14:compatExt spid="_x0000_s1091"/>
                </a:ext>
              </a:extLst>
            </xdr:cNvPr>
            <xdr:cNvSpPr/>
          </xdr:nvSpPr>
          <xdr:spPr>
            <a:xfrm>
              <a:off x="3010535" y="6562725"/>
              <a:ext cx="466090" cy="21907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533400</xdr:colOff>
          <xdr:row>20</xdr:row>
          <xdr:rowOff>142875</xdr:rowOff>
        </xdr:from>
        <xdr:to>
          <xdr:col>6</xdr:col>
          <xdr:colOff>252413</xdr:colOff>
          <xdr:row>22</xdr:row>
          <xdr:rowOff>47625</xdr:rowOff>
        </xdr:to>
        <xdr:sp>
          <xdr:nvSpPr>
            <xdr:cNvPr id="1092" name="Check Box 68" hidden="1">
              <a:extLst>
                <a:ext uri="{63B3BB69-23CF-44E3-9099-C40C66FF867C}">
                  <a14:compatExt spid="_x0000_s1092"/>
                </a:ext>
              </a:extLst>
            </xdr:cNvPr>
            <xdr:cNvSpPr/>
          </xdr:nvSpPr>
          <xdr:spPr>
            <a:xfrm>
              <a:off x="5327650" y="6553200"/>
              <a:ext cx="429895" cy="24765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52388</xdr:colOff>
          <xdr:row>22</xdr:row>
          <xdr:rowOff>166688</xdr:rowOff>
        </xdr:from>
        <xdr:to>
          <xdr:col>1</xdr:col>
          <xdr:colOff>481013</xdr:colOff>
          <xdr:row>24</xdr:row>
          <xdr:rowOff>47625</xdr:rowOff>
        </xdr:to>
        <xdr:sp>
          <xdr:nvSpPr>
            <xdr:cNvPr id="1093" name="Check Box 69" hidden="1">
              <a:extLst>
                <a:ext uri="{63B3BB69-23CF-44E3-9099-C40C66FF867C}">
                  <a14:compatExt spid="_x0000_s1093"/>
                </a:ext>
              </a:extLst>
            </xdr:cNvPr>
            <xdr:cNvSpPr/>
          </xdr:nvSpPr>
          <xdr:spPr>
            <a:xfrm>
              <a:off x="880110" y="6919595"/>
              <a:ext cx="428625" cy="25273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328613</xdr:colOff>
          <xdr:row>22</xdr:row>
          <xdr:rowOff>166688</xdr:rowOff>
        </xdr:from>
        <xdr:to>
          <xdr:col>3</xdr:col>
          <xdr:colOff>47625</xdr:colOff>
          <xdr:row>24</xdr:row>
          <xdr:rowOff>23813</xdr:rowOff>
        </xdr:to>
        <xdr:sp>
          <xdr:nvSpPr>
            <xdr:cNvPr id="1094" name="Check Box 70" hidden="1">
              <a:extLst>
                <a:ext uri="{63B3BB69-23CF-44E3-9099-C40C66FF867C}">
                  <a14:compatExt spid="_x0000_s1094"/>
                </a:ext>
              </a:extLst>
            </xdr:cNvPr>
            <xdr:cNvSpPr/>
          </xdr:nvSpPr>
          <xdr:spPr>
            <a:xfrm>
              <a:off x="2070735" y="6919595"/>
              <a:ext cx="430530" cy="22860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685800</xdr:colOff>
          <xdr:row>22</xdr:row>
          <xdr:rowOff>176213</xdr:rowOff>
        </xdr:from>
        <xdr:to>
          <xdr:col>3</xdr:col>
          <xdr:colOff>1118235</xdr:colOff>
          <xdr:row>24</xdr:row>
          <xdr:rowOff>23813</xdr:rowOff>
        </xdr:to>
        <xdr:sp>
          <xdr:nvSpPr>
            <xdr:cNvPr id="1095" name="Check Box 71" hidden="1">
              <a:extLst>
                <a:ext uri="{63B3BB69-23CF-44E3-9099-C40C66FF867C}">
                  <a14:compatExt spid="_x0000_s1095"/>
                </a:ext>
              </a:extLst>
            </xdr:cNvPr>
            <xdr:cNvSpPr/>
          </xdr:nvSpPr>
          <xdr:spPr>
            <a:xfrm>
              <a:off x="3139440" y="6929120"/>
              <a:ext cx="432435" cy="21907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519113</xdr:colOff>
          <xdr:row>22</xdr:row>
          <xdr:rowOff>180975</xdr:rowOff>
        </xdr:from>
        <xdr:to>
          <xdr:col>6</xdr:col>
          <xdr:colOff>228600</xdr:colOff>
          <xdr:row>24</xdr:row>
          <xdr:rowOff>28575</xdr:rowOff>
        </xdr:to>
        <xdr:sp>
          <xdr:nvSpPr>
            <xdr:cNvPr id="1096" name="Check Box 72" hidden="1">
              <a:extLst>
                <a:ext uri="{63B3BB69-23CF-44E3-9099-C40C66FF867C}">
                  <a14:compatExt spid="_x0000_s1096"/>
                </a:ext>
              </a:extLst>
            </xdr:cNvPr>
            <xdr:cNvSpPr/>
          </xdr:nvSpPr>
          <xdr:spPr>
            <a:xfrm>
              <a:off x="5313045" y="6934200"/>
              <a:ext cx="421005" cy="21907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252413</xdr:colOff>
          <xdr:row>22</xdr:row>
          <xdr:rowOff>166688</xdr:rowOff>
        </xdr:from>
        <xdr:to>
          <xdr:col>8</xdr:col>
          <xdr:colOff>61913</xdr:colOff>
          <xdr:row>24</xdr:row>
          <xdr:rowOff>38100</xdr:rowOff>
        </xdr:to>
        <xdr:sp>
          <xdr:nvSpPr>
            <xdr:cNvPr id="1097" name="Check Box 73" hidden="1">
              <a:extLst>
                <a:ext uri="{63B3BB69-23CF-44E3-9099-C40C66FF867C}">
                  <a14:compatExt spid="_x0000_s1097"/>
                </a:ext>
              </a:extLst>
            </xdr:cNvPr>
            <xdr:cNvSpPr/>
          </xdr:nvSpPr>
          <xdr:spPr>
            <a:xfrm>
              <a:off x="6586220" y="6919595"/>
              <a:ext cx="434340" cy="24320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176213</xdr:rowOff>
        </xdr:from>
        <xdr:to>
          <xdr:col>1</xdr:col>
          <xdr:colOff>481013</xdr:colOff>
          <xdr:row>26</xdr:row>
          <xdr:rowOff>23813</xdr:rowOff>
        </xdr:to>
        <xdr:sp>
          <xdr:nvSpPr>
            <xdr:cNvPr id="1098" name="Check Box 74" hidden="1">
              <a:extLst>
                <a:ext uri="{63B3BB69-23CF-44E3-9099-C40C66FF867C}">
                  <a14:compatExt spid="_x0000_s1098"/>
                </a:ext>
              </a:extLst>
            </xdr:cNvPr>
            <xdr:cNvSpPr/>
          </xdr:nvSpPr>
          <xdr:spPr>
            <a:xfrm>
              <a:off x="875665" y="7300595"/>
              <a:ext cx="433070" cy="21907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280988</xdr:colOff>
          <xdr:row>24</xdr:row>
          <xdr:rowOff>176213</xdr:rowOff>
        </xdr:from>
        <xdr:to>
          <xdr:col>3</xdr:col>
          <xdr:colOff>0</xdr:colOff>
          <xdr:row>26</xdr:row>
          <xdr:rowOff>28575</xdr:rowOff>
        </xdr:to>
        <xdr:sp>
          <xdr:nvSpPr>
            <xdr:cNvPr id="1099" name="Check Box 75" hidden="1">
              <a:extLst>
                <a:ext uri="{63B3BB69-23CF-44E3-9099-C40C66FF867C}">
                  <a14:compatExt spid="_x0000_s1099"/>
                </a:ext>
              </a:extLst>
            </xdr:cNvPr>
            <xdr:cNvSpPr/>
          </xdr:nvSpPr>
          <xdr:spPr>
            <a:xfrm>
              <a:off x="2023110" y="7300595"/>
              <a:ext cx="430530" cy="224155"/>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61913</xdr:colOff>
          <xdr:row>24</xdr:row>
          <xdr:rowOff>166688</xdr:rowOff>
        </xdr:from>
        <xdr:to>
          <xdr:col>4</xdr:col>
          <xdr:colOff>495300</xdr:colOff>
          <xdr:row>26</xdr:row>
          <xdr:rowOff>23813</xdr:rowOff>
        </xdr:to>
        <xdr:sp>
          <xdr:nvSpPr>
            <xdr:cNvPr id="1100" name="Check Box 76" hidden="1">
              <a:extLst>
                <a:ext uri="{63B3BB69-23CF-44E3-9099-C40C66FF867C}">
                  <a14:compatExt spid="_x0000_s1100"/>
                </a:ext>
              </a:extLst>
            </xdr:cNvPr>
            <xdr:cNvSpPr/>
          </xdr:nvSpPr>
          <xdr:spPr>
            <a:xfrm>
              <a:off x="4286885" y="7291070"/>
              <a:ext cx="433705" cy="228600"/>
            </a:xfrm>
            <a:prstGeom prst="rect">
              <a:avLst/>
            </a:prstGeom>
          </xdr:spPr>
          <xdr:txBody>
            <a:bodyPr vertOverflow="clip" wrap="square" lIns="18288" tIns="0" rIns="0" bIns="0" anchor="ctr" upright="1"/>
            <a:lstStyle/>
            <a:p>
              <a:pPr algn="l" rtl="0">
                <a:defRPr sz="1000"/>
              </a:pPr>
              <a:endParaRPr lang="zh-CN" altLang="en-US"/>
            </a:p>
          </xdr:txBody>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ctrlProp" Target="../ctrlProps/ctrlProp6.xml"/><Relationship Id="rId8" Type="http://schemas.openxmlformats.org/officeDocument/2006/relationships/ctrlProp" Target="../ctrlProps/ctrlProp5.x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3" Type="http://schemas.openxmlformats.org/officeDocument/2006/relationships/ctrlProp" Target="../ctrlProps/ctrlProp40.xml"/><Relationship Id="rId42" Type="http://schemas.openxmlformats.org/officeDocument/2006/relationships/ctrlProp" Target="../ctrlProps/ctrlProp39.xml"/><Relationship Id="rId41" Type="http://schemas.openxmlformats.org/officeDocument/2006/relationships/ctrlProp" Target="../ctrlProps/ctrlProp38.xml"/><Relationship Id="rId40" Type="http://schemas.openxmlformats.org/officeDocument/2006/relationships/ctrlProp" Target="../ctrlProps/ctrlProp37.xml"/><Relationship Id="rId4" Type="http://schemas.openxmlformats.org/officeDocument/2006/relationships/ctrlProp" Target="../ctrlProps/ctrlProp1.xml"/><Relationship Id="rId39" Type="http://schemas.openxmlformats.org/officeDocument/2006/relationships/ctrlProp" Target="../ctrlProps/ctrlProp36.xml"/><Relationship Id="rId38" Type="http://schemas.openxmlformats.org/officeDocument/2006/relationships/ctrlProp" Target="../ctrlProps/ctrlProp35.xml"/><Relationship Id="rId37" Type="http://schemas.openxmlformats.org/officeDocument/2006/relationships/ctrlProp" Target="../ctrlProps/ctrlProp34.xml"/><Relationship Id="rId36" Type="http://schemas.openxmlformats.org/officeDocument/2006/relationships/ctrlProp" Target="../ctrlProps/ctrlProp33.xml"/><Relationship Id="rId35" Type="http://schemas.openxmlformats.org/officeDocument/2006/relationships/ctrlProp" Target="../ctrlProps/ctrlProp32.xml"/><Relationship Id="rId34" Type="http://schemas.openxmlformats.org/officeDocument/2006/relationships/ctrlProp" Target="../ctrlProps/ctrlProp31.xml"/><Relationship Id="rId33" Type="http://schemas.openxmlformats.org/officeDocument/2006/relationships/ctrlProp" Target="../ctrlProps/ctrlProp30.xml"/><Relationship Id="rId32" Type="http://schemas.openxmlformats.org/officeDocument/2006/relationships/ctrlProp" Target="../ctrlProps/ctrlProp29.xml"/><Relationship Id="rId31" Type="http://schemas.openxmlformats.org/officeDocument/2006/relationships/ctrlProp" Target="../ctrlProps/ctrlProp28.xml"/><Relationship Id="rId30" Type="http://schemas.openxmlformats.org/officeDocument/2006/relationships/ctrlProp" Target="../ctrlProps/ctrlProp27.xml"/><Relationship Id="rId3" Type="http://schemas.openxmlformats.org/officeDocument/2006/relationships/vmlDrawing" Target="../drawings/vmlDrawing1.vml"/><Relationship Id="rId29" Type="http://schemas.openxmlformats.org/officeDocument/2006/relationships/ctrlProp" Target="../ctrlProps/ctrlProp26.xml"/><Relationship Id="rId28" Type="http://schemas.openxmlformats.org/officeDocument/2006/relationships/ctrlProp" Target="../ctrlProps/ctrlProp25.xml"/><Relationship Id="rId27" Type="http://schemas.openxmlformats.org/officeDocument/2006/relationships/ctrlProp" Target="../ctrlProps/ctrlProp24.xml"/><Relationship Id="rId26" Type="http://schemas.openxmlformats.org/officeDocument/2006/relationships/ctrlProp" Target="../ctrlProps/ctrlProp23.xml"/><Relationship Id="rId25" Type="http://schemas.openxmlformats.org/officeDocument/2006/relationships/ctrlProp" Target="../ctrlProps/ctrlProp22.xml"/><Relationship Id="rId24" Type="http://schemas.openxmlformats.org/officeDocument/2006/relationships/ctrlProp" Target="../ctrlProps/ctrlProp21.xml"/><Relationship Id="rId23" Type="http://schemas.openxmlformats.org/officeDocument/2006/relationships/ctrlProp" Target="../ctrlProps/ctrlProp20.xml"/><Relationship Id="rId22" Type="http://schemas.openxmlformats.org/officeDocument/2006/relationships/ctrlProp" Target="../ctrlProps/ctrlProp19.xml"/><Relationship Id="rId21" Type="http://schemas.openxmlformats.org/officeDocument/2006/relationships/ctrlProp" Target="../ctrlProps/ctrlProp18.xml"/><Relationship Id="rId20" Type="http://schemas.openxmlformats.org/officeDocument/2006/relationships/ctrlProp" Target="../ctrlProps/ctrlProp17.xml"/><Relationship Id="rId2" Type="http://schemas.openxmlformats.org/officeDocument/2006/relationships/drawing" Target="../drawings/drawing1.xml"/><Relationship Id="rId19" Type="http://schemas.openxmlformats.org/officeDocument/2006/relationships/ctrlProp" Target="../ctrlProps/ctrlProp16.xml"/><Relationship Id="rId18" Type="http://schemas.openxmlformats.org/officeDocument/2006/relationships/ctrlProp" Target="../ctrlProps/ctrlProp15.xml"/><Relationship Id="rId17" Type="http://schemas.openxmlformats.org/officeDocument/2006/relationships/ctrlProp" Target="../ctrlProps/ctrlProp14.xml"/><Relationship Id="rId16" Type="http://schemas.openxmlformats.org/officeDocument/2006/relationships/ctrlProp" Target="../ctrlProps/ctrlProp13.xml"/><Relationship Id="rId15" Type="http://schemas.openxmlformats.org/officeDocument/2006/relationships/ctrlProp" Target="../ctrlProps/ctrlProp12.xml"/><Relationship Id="rId14" Type="http://schemas.openxmlformats.org/officeDocument/2006/relationships/ctrlProp" Target="../ctrlProps/ctrlProp11.xml"/><Relationship Id="rId13" Type="http://schemas.openxmlformats.org/officeDocument/2006/relationships/ctrlProp" Target="../ctrlProps/ctrlProp10.xml"/><Relationship Id="rId12" Type="http://schemas.openxmlformats.org/officeDocument/2006/relationships/ctrlProp" Target="../ctrlProps/ctrlProp9.xml"/><Relationship Id="rId11" Type="http://schemas.openxmlformats.org/officeDocument/2006/relationships/ctrlProp" Target="../ctrlProps/ctrlProp8.xml"/><Relationship Id="rId10" Type="http://schemas.openxmlformats.org/officeDocument/2006/relationships/ctrlProp" Target="../ctrlProps/ctrlProp7.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I77"/>
  <sheetViews>
    <sheetView tabSelected="1" zoomScale="130" zoomScaleNormal="130" topLeftCell="B15" workbookViewId="0">
      <selection activeCell="K36" sqref="K36"/>
    </sheetView>
  </sheetViews>
  <sheetFormatPr defaultColWidth="9" defaultRowHeight="13.5"/>
  <cols>
    <col min="1" max="1" width="10.8666666666667" style="12" customWidth="1"/>
    <col min="2" max="2" width="12" customWidth="1"/>
    <col min="3" max="3" width="9.33333333333333"/>
    <col min="4" max="4" width="23.25" customWidth="1"/>
    <col min="5" max="5" width="7.46666666666667" customWidth="1"/>
    <col min="6" max="6" width="9.33333333333333" customWidth="1"/>
    <col min="7" max="7" width="10.875" customWidth="1"/>
    <col min="8" max="8" width="8.2" customWidth="1"/>
    <col min="15" max="15" width="9" customWidth="1"/>
  </cols>
  <sheetData>
    <row r="1" ht="27" customHeight="1" spans="1:8">
      <c r="A1" s="13" t="s">
        <v>0</v>
      </c>
      <c r="B1" s="14"/>
      <c r="C1" s="14"/>
      <c r="D1" s="14"/>
      <c r="E1" s="14"/>
      <c r="F1" s="14"/>
      <c r="G1" s="14"/>
      <c r="H1" s="14"/>
    </row>
    <row r="2" ht="27" customHeight="1" spans="1:8">
      <c r="A2" s="14"/>
      <c r="B2" s="14"/>
      <c r="C2" s="14"/>
      <c r="D2" s="14"/>
      <c r="E2" s="14"/>
      <c r="F2" s="14"/>
      <c r="G2" s="14"/>
      <c r="H2" s="14"/>
    </row>
    <row r="3" ht="15.75" spans="1:8">
      <c r="A3" s="15" t="s">
        <v>1</v>
      </c>
      <c r="B3" s="16" t="s">
        <v>2</v>
      </c>
      <c r="C3" s="17"/>
      <c r="D3" s="18" t="s">
        <v>3</v>
      </c>
      <c r="E3" s="17"/>
      <c r="F3" s="18" t="s">
        <v>4</v>
      </c>
      <c r="G3" s="18"/>
      <c r="H3" s="17"/>
    </row>
    <row r="4" ht="14.25" spans="1:8">
      <c r="A4" s="19" t="s">
        <v>5</v>
      </c>
      <c r="B4" s="16" t="s">
        <v>6</v>
      </c>
      <c r="C4" s="17"/>
      <c r="D4" s="17"/>
      <c r="E4" s="17"/>
      <c r="F4" s="17"/>
      <c r="G4" s="17"/>
      <c r="H4" s="16" t="s">
        <v>7</v>
      </c>
    </row>
    <row r="5" ht="15.75" customHeight="1" spans="1:8">
      <c r="A5" s="19"/>
      <c r="B5" s="17"/>
      <c r="C5" s="17"/>
      <c r="D5" s="17"/>
      <c r="E5" s="17"/>
      <c r="F5" s="17"/>
      <c r="G5" s="17"/>
      <c r="H5" s="16" t="s">
        <v>8</v>
      </c>
    </row>
    <row r="6" ht="15.75" spans="1:8">
      <c r="A6" s="15" t="s">
        <v>9</v>
      </c>
      <c r="B6" s="20" t="s">
        <v>10</v>
      </c>
      <c r="C6" s="20"/>
      <c r="D6" s="18" t="s">
        <v>11</v>
      </c>
      <c r="E6" s="18"/>
      <c r="F6" s="18"/>
      <c r="G6" s="18"/>
      <c r="H6" s="21">
        <v>12</v>
      </c>
    </row>
    <row r="7" ht="15.75" spans="1:8">
      <c r="A7" s="15" t="s">
        <v>12</v>
      </c>
      <c r="B7" s="18" t="s">
        <v>13</v>
      </c>
      <c r="C7" s="18"/>
      <c r="D7" s="18" t="s">
        <v>14</v>
      </c>
      <c r="E7" s="18"/>
      <c r="F7" s="18"/>
      <c r="G7" s="18"/>
      <c r="H7" s="20"/>
    </row>
    <row r="8" ht="16.5" customHeight="1" spans="1:8">
      <c r="A8" s="15" t="s">
        <v>15</v>
      </c>
      <c r="B8" s="22" t="s">
        <v>16</v>
      </c>
      <c r="C8" s="22"/>
      <c r="D8" s="22"/>
      <c r="E8" s="22"/>
      <c r="F8" s="22"/>
      <c r="G8" s="22"/>
      <c r="H8" s="22"/>
    </row>
    <row r="9" spans="1:8">
      <c r="A9" s="15"/>
      <c r="B9" s="23" t="s">
        <v>17</v>
      </c>
      <c r="C9" s="23"/>
      <c r="D9" s="23"/>
      <c r="E9" s="23"/>
      <c r="F9" s="23"/>
      <c r="G9" s="23"/>
      <c r="H9" s="23"/>
    </row>
    <row r="10" spans="1:8">
      <c r="A10" s="15"/>
      <c r="B10" s="24" t="s">
        <v>18</v>
      </c>
      <c r="C10" s="24"/>
      <c r="D10" s="24"/>
      <c r="E10" s="24"/>
      <c r="F10" s="24"/>
      <c r="G10" s="24"/>
      <c r="H10" s="24"/>
    </row>
    <row r="11" ht="201.75" customHeight="1" spans="1:8">
      <c r="A11" s="15" t="s">
        <v>19</v>
      </c>
      <c r="B11" s="25" t="s">
        <v>20</v>
      </c>
      <c r="C11" s="26"/>
      <c r="D11" s="26"/>
      <c r="E11" s="26"/>
      <c r="F11" s="26"/>
      <c r="G11" s="26"/>
      <c r="H11" s="26"/>
    </row>
    <row r="12" ht="15.75" spans="1:8">
      <c r="A12" s="15"/>
      <c r="B12" s="26" t="s">
        <v>21</v>
      </c>
      <c r="C12" s="26"/>
      <c r="D12" s="26"/>
      <c r="E12" s="26"/>
      <c r="F12" s="26"/>
      <c r="G12" s="26"/>
      <c r="H12" s="26"/>
    </row>
    <row r="13" spans="1:8">
      <c r="A13" s="15"/>
      <c r="B13" s="27" t="s">
        <v>22</v>
      </c>
      <c r="C13" s="27"/>
      <c r="D13" s="27"/>
      <c r="E13" s="27"/>
      <c r="F13" s="27"/>
      <c r="G13" s="27"/>
      <c r="H13" s="27"/>
    </row>
    <row r="14" spans="1:8">
      <c r="A14" s="15"/>
      <c r="B14" s="27" t="s">
        <v>23</v>
      </c>
      <c r="C14" s="27"/>
      <c r="D14" s="27"/>
      <c r="E14" s="27"/>
      <c r="F14" s="27"/>
      <c r="G14" s="27"/>
      <c r="H14" s="27"/>
    </row>
    <row r="15" spans="1:8">
      <c r="A15" s="15"/>
      <c r="B15" s="27" t="s">
        <v>24</v>
      </c>
      <c r="C15" s="27"/>
      <c r="D15" s="27"/>
      <c r="E15" s="27"/>
      <c r="F15" s="27"/>
      <c r="G15" s="27"/>
      <c r="H15" s="27"/>
    </row>
    <row r="16" ht="15.75" spans="1:8">
      <c r="A16" s="15"/>
      <c r="B16" s="28" t="s">
        <v>25</v>
      </c>
      <c r="C16" s="28"/>
      <c r="D16" s="28"/>
      <c r="E16" s="28"/>
      <c r="F16" s="28"/>
      <c r="G16" s="28"/>
      <c r="H16" s="28"/>
    </row>
    <row r="17" spans="1:8">
      <c r="A17" s="15"/>
      <c r="B17" s="29" t="s">
        <v>26</v>
      </c>
      <c r="C17" s="29"/>
      <c r="D17" s="29"/>
      <c r="E17" s="29"/>
      <c r="F17" s="29"/>
      <c r="G17" s="29"/>
      <c r="H17" s="29"/>
    </row>
    <row r="18" spans="1:8">
      <c r="A18" s="15"/>
      <c r="B18" s="30" t="s">
        <v>27</v>
      </c>
      <c r="C18" s="30"/>
      <c r="D18" s="30"/>
      <c r="E18" s="30"/>
      <c r="F18" s="30"/>
      <c r="G18" s="30"/>
      <c r="H18" s="30"/>
    </row>
    <row r="19" ht="15.75" spans="1:8">
      <c r="A19" s="15"/>
      <c r="B19" s="28" t="s">
        <v>28</v>
      </c>
      <c r="C19" s="28"/>
      <c r="D19" s="28"/>
      <c r="E19" s="28"/>
      <c r="F19" s="28"/>
      <c r="G19" s="28"/>
      <c r="H19" s="28"/>
    </row>
    <row r="20" spans="1:8">
      <c r="A20" s="15"/>
      <c r="B20" s="31" t="s">
        <v>29</v>
      </c>
      <c r="C20" s="29"/>
      <c r="D20" s="29"/>
      <c r="E20" s="29"/>
      <c r="F20" s="29"/>
      <c r="G20" s="29"/>
      <c r="H20" s="29"/>
    </row>
    <row r="21" spans="1:8">
      <c r="A21" s="15"/>
      <c r="B21" s="31" t="s">
        <v>30</v>
      </c>
      <c r="C21" s="30"/>
      <c r="D21" s="30"/>
      <c r="E21" s="30"/>
      <c r="F21" s="30"/>
      <c r="G21" s="30"/>
      <c r="H21" s="30"/>
    </row>
    <row r="22" spans="1:8">
      <c r="A22" s="15"/>
      <c r="B22" s="31" t="s">
        <v>31</v>
      </c>
      <c r="C22" s="29"/>
      <c r="D22" s="29"/>
      <c r="E22" s="29"/>
      <c r="F22" s="29"/>
      <c r="G22" s="29"/>
      <c r="H22" s="29"/>
    </row>
    <row r="23" ht="15.75" spans="1:8">
      <c r="A23" s="15"/>
      <c r="B23" s="28" t="s">
        <v>32</v>
      </c>
      <c r="C23" s="28"/>
      <c r="D23" s="28"/>
      <c r="E23" s="28"/>
      <c r="F23" s="28"/>
      <c r="G23" s="28"/>
      <c r="H23" s="28"/>
    </row>
    <row r="24" spans="1:8">
      <c r="A24" s="15"/>
      <c r="B24" s="31" t="s">
        <v>33</v>
      </c>
      <c r="C24" s="30"/>
      <c r="D24" s="30"/>
      <c r="E24" s="30"/>
      <c r="F24" s="30"/>
      <c r="G24" s="30"/>
      <c r="H24" s="30"/>
    </row>
    <row r="25" ht="15.75" spans="1:8">
      <c r="A25" s="15"/>
      <c r="B25" s="28" t="s">
        <v>34</v>
      </c>
      <c r="C25" s="28"/>
      <c r="D25" s="28"/>
      <c r="E25" s="28"/>
      <c r="F25" s="28"/>
      <c r="G25" s="28"/>
      <c r="H25" s="28"/>
    </row>
    <row r="26" spans="1:8">
      <c r="A26" s="15"/>
      <c r="B26" s="32" t="s">
        <v>35</v>
      </c>
      <c r="C26" s="33"/>
      <c r="D26" s="33"/>
      <c r="E26" s="33"/>
      <c r="F26" s="33"/>
      <c r="G26" s="33"/>
      <c r="H26" s="33"/>
    </row>
    <row r="27" spans="1:8">
      <c r="A27" s="15" t="s">
        <v>36</v>
      </c>
      <c r="B27" s="30" t="s">
        <v>37</v>
      </c>
      <c r="C27" s="30"/>
      <c r="D27" s="30"/>
      <c r="E27" s="30"/>
      <c r="F27" s="30"/>
      <c r="G27" s="30"/>
      <c r="H27" s="30"/>
    </row>
    <row r="28" spans="1:8">
      <c r="A28" s="15"/>
      <c r="B28" s="30" t="s">
        <v>38</v>
      </c>
      <c r="C28" s="30"/>
      <c r="D28" s="30"/>
      <c r="E28" s="30"/>
      <c r="F28" s="30"/>
      <c r="G28" s="30"/>
      <c r="H28" s="30"/>
    </row>
    <row r="29" spans="1:8">
      <c r="A29" s="15"/>
      <c r="B29" s="30" t="s">
        <v>39</v>
      </c>
      <c r="C29" s="30"/>
      <c r="D29" s="30"/>
      <c r="E29" s="30"/>
      <c r="F29" s="30"/>
      <c r="G29" s="30"/>
      <c r="H29" s="30"/>
    </row>
    <row r="30" ht="31" customHeight="1" spans="1:8">
      <c r="A30" s="34"/>
      <c r="B30" s="35" t="s">
        <v>40</v>
      </c>
      <c r="C30" s="36" t="s">
        <v>41</v>
      </c>
      <c r="D30" s="36"/>
      <c r="E30" s="36"/>
      <c r="F30" s="36"/>
      <c r="G30" s="36"/>
      <c r="H30" s="36"/>
    </row>
    <row r="31" s="1" customFormat="1" spans="1:8">
      <c r="A31" s="35"/>
      <c r="B31" s="35"/>
      <c r="C31" s="35" t="s">
        <v>42</v>
      </c>
      <c r="D31" s="35" t="s">
        <v>43</v>
      </c>
      <c r="E31" s="35" t="s">
        <v>44</v>
      </c>
      <c r="F31" s="35" t="s">
        <v>45</v>
      </c>
      <c r="G31" s="35"/>
      <c r="H31" s="35"/>
    </row>
    <row r="32" ht="40.5" spans="1:8">
      <c r="A32" s="34"/>
      <c r="B32" s="35"/>
      <c r="C32" s="35" t="s">
        <v>46</v>
      </c>
      <c r="D32" s="35" t="s">
        <v>47</v>
      </c>
      <c r="E32" s="35" t="s">
        <v>48</v>
      </c>
      <c r="F32" s="34" t="s">
        <v>49</v>
      </c>
      <c r="G32" s="34" t="s">
        <v>50</v>
      </c>
      <c r="H32" s="34" t="s">
        <v>51</v>
      </c>
    </row>
    <row r="33" spans="1:8">
      <c r="A33" s="34"/>
      <c r="B33" s="35"/>
      <c r="C33" s="35" t="s">
        <v>52</v>
      </c>
      <c r="D33" s="35" t="s">
        <v>53</v>
      </c>
      <c r="E33" s="35" t="s">
        <v>54</v>
      </c>
      <c r="F33" s="34"/>
      <c r="G33" s="34"/>
      <c r="H33" s="34"/>
    </row>
    <row r="34" s="11" customFormat="1" ht="41" customHeight="1" spans="1:8">
      <c r="A34" s="19"/>
      <c r="B34" s="35"/>
      <c r="C34" s="19" t="s">
        <v>55</v>
      </c>
      <c r="D34" s="19" t="s">
        <v>56</v>
      </c>
      <c r="E34" s="19" t="s">
        <v>57</v>
      </c>
      <c r="F34" s="19" t="s">
        <v>58</v>
      </c>
      <c r="G34" s="19" t="s">
        <v>59</v>
      </c>
      <c r="H34" s="19" t="s">
        <v>60</v>
      </c>
    </row>
    <row r="35" customHeight="1" spans="1:8">
      <c r="A35" s="15" t="s">
        <v>61</v>
      </c>
      <c r="B35" s="37" t="s">
        <v>62</v>
      </c>
      <c r="C35" s="38"/>
      <c r="D35" s="38"/>
      <c r="E35" s="38"/>
      <c r="F35" s="38"/>
      <c r="G35" s="38"/>
      <c r="H35" s="38"/>
    </row>
    <row r="36" customHeight="1" spans="1:8">
      <c r="A36" s="15"/>
      <c r="B36" s="38"/>
      <c r="C36" s="38"/>
      <c r="D36" s="38"/>
      <c r="E36" s="38"/>
      <c r="F36" s="38"/>
      <c r="G36" s="38"/>
      <c r="H36" s="38"/>
    </row>
    <row r="37" customHeight="1" spans="1:8">
      <c r="A37" s="15"/>
      <c r="B37" s="38"/>
      <c r="C37" s="38"/>
      <c r="D37" s="38"/>
      <c r="E37" s="38"/>
      <c r="F37" s="38"/>
      <c r="G37" s="38"/>
      <c r="H37" s="38"/>
    </row>
    <row r="38" ht="163.9" customHeight="1" spans="1:8">
      <c r="A38" s="15"/>
      <c r="B38" s="38"/>
      <c r="C38" s="38"/>
      <c r="D38" s="38"/>
      <c r="E38" s="38"/>
      <c r="F38" s="38"/>
      <c r="G38" s="38"/>
      <c r="H38" s="38"/>
    </row>
    <row r="39" ht="14.25" customHeight="1" spans="1:8">
      <c r="A39" s="15"/>
      <c r="B39" s="39" t="s">
        <v>63</v>
      </c>
      <c r="C39" s="39"/>
      <c r="D39" s="39"/>
      <c r="E39" s="39"/>
      <c r="F39" s="39"/>
      <c r="G39" s="39"/>
      <c r="H39" s="39"/>
    </row>
    <row r="40" ht="14.25" customHeight="1" spans="1:8">
      <c r="A40" s="15"/>
      <c r="B40" s="40" t="s">
        <v>64</v>
      </c>
      <c r="C40" s="40"/>
      <c r="D40" s="40"/>
      <c r="E40" s="40"/>
      <c r="F40" s="40"/>
      <c r="G40" s="40"/>
      <c r="H40" s="41">
        <v>10000</v>
      </c>
    </row>
    <row r="41" ht="14.25" customHeight="1" spans="1:8">
      <c r="A41" s="15"/>
      <c r="B41" s="40" t="s">
        <v>65</v>
      </c>
      <c r="C41" s="40"/>
      <c r="D41" s="40"/>
      <c r="E41" s="40"/>
      <c r="F41" s="40"/>
      <c r="G41" s="40"/>
      <c r="H41" s="41">
        <v>0.1</v>
      </c>
    </row>
    <row r="42" ht="14.25" customHeight="1" spans="1:8">
      <c r="A42" s="15"/>
      <c r="B42" s="40" t="s">
        <v>66</v>
      </c>
      <c r="C42" s="40"/>
      <c r="D42" s="40"/>
      <c r="E42" s="40"/>
      <c r="F42" s="40"/>
      <c r="G42" s="40"/>
      <c r="H42" s="41">
        <v>150</v>
      </c>
    </row>
    <row r="43" ht="45" customHeight="1" spans="1:8">
      <c r="A43" s="15"/>
      <c r="B43" s="40" t="s">
        <v>67</v>
      </c>
      <c r="C43" s="40"/>
      <c r="D43" s="40"/>
      <c r="E43" s="40"/>
      <c r="F43" s="40"/>
      <c r="G43" s="40"/>
      <c r="H43" s="40"/>
    </row>
    <row r="44" customHeight="1" spans="1:8">
      <c r="A44" s="15"/>
      <c r="B44" s="40" t="s">
        <v>68</v>
      </c>
      <c r="C44" s="42" t="s">
        <v>69</v>
      </c>
      <c r="D44" s="42"/>
      <c r="E44" s="42" t="s">
        <v>70</v>
      </c>
      <c r="F44" s="42"/>
      <c r="G44" s="42" t="s">
        <v>71</v>
      </c>
      <c r="H44" s="42"/>
    </row>
    <row r="45" ht="25.5" spans="1:9">
      <c r="A45" s="15"/>
      <c r="B45" s="43" t="s">
        <v>72</v>
      </c>
      <c r="C45" s="44">
        <v>200</v>
      </c>
      <c r="D45" s="44"/>
      <c r="E45" s="44">
        <v>150</v>
      </c>
      <c r="F45" s="44"/>
      <c r="G45" s="44">
        <v>120</v>
      </c>
      <c r="H45" s="44"/>
      <c r="I45" s="64" t="s">
        <v>73</v>
      </c>
    </row>
    <row r="46" customHeight="1" spans="1:8">
      <c r="A46" s="15"/>
      <c r="B46" s="40" t="s">
        <v>74</v>
      </c>
      <c r="C46" s="45"/>
      <c r="D46" s="45"/>
      <c r="E46" s="45"/>
      <c r="F46" s="45"/>
      <c r="G46" s="45"/>
      <c r="H46" s="45"/>
    </row>
    <row r="47" ht="25.5" spans="1:8">
      <c r="A47" s="15"/>
      <c r="B47" s="43" t="s">
        <v>75</v>
      </c>
      <c r="C47" s="45"/>
      <c r="D47" s="45"/>
      <c r="E47" s="45"/>
      <c r="F47" s="45"/>
      <c r="G47" s="45">
        <v>0.1</v>
      </c>
      <c r="H47" s="45"/>
    </row>
    <row r="48" customHeight="1" spans="1:8">
      <c r="A48" s="15"/>
      <c r="B48" s="40" t="s">
        <v>76</v>
      </c>
      <c r="C48" s="40" t="s">
        <v>77</v>
      </c>
      <c r="D48" s="46" t="s">
        <v>78</v>
      </c>
      <c r="E48" s="46"/>
      <c r="F48" s="40" t="s">
        <v>77</v>
      </c>
      <c r="G48" s="40" t="s">
        <v>79</v>
      </c>
      <c r="H48" s="40"/>
    </row>
    <row r="49" customHeight="1" spans="1:8">
      <c r="A49" s="15"/>
      <c r="B49" s="40" t="s">
        <v>80</v>
      </c>
      <c r="C49" s="47">
        <f>150/5</f>
        <v>30</v>
      </c>
      <c r="D49" s="45"/>
      <c r="E49" s="48" t="s">
        <v>81</v>
      </c>
      <c r="F49" s="48"/>
      <c r="G49" s="49" t="s">
        <v>82</v>
      </c>
      <c r="H49" s="49"/>
    </row>
    <row r="50" customHeight="1" spans="1:8">
      <c r="A50" s="15"/>
      <c r="B50" s="50" t="s">
        <v>83</v>
      </c>
      <c r="C50" s="51">
        <f>E51*H40</f>
        <v>50000</v>
      </c>
      <c r="D50" s="51"/>
      <c r="E50" s="51"/>
      <c r="F50" s="52" t="s">
        <v>84</v>
      </c>
      <c r="G50" s="52"/>
      <c r="H50" s="51">
        <f>(C49*H40)/10000</f>
        <v>30</v>
      </c>
    </row>
    <row r="51" customHeight="1" spans="1:8">
      <c r="A51" s="15"/>
      <c r="B51" s="53" t="s">
        <v>85</v>
      </c>
      <c r="C51" s="51" t="e">
        <f>(C45*C46*C47+E45*E46*E47+G45*G46*G47+#REF!*#REF!*#REF!)*H40/10000</f>
        <v>#REF!</v>
      </c>
      <c r="D51" s="53" t="s">
        <v>86</v>
      </c>
      <c r="E51" s="44">
        <v>5</v>
      </c>
      <c r="F51" s="53" t="s">
        <v>87</v>
      </c>
      <c r="G51" s="44">
        <v>2.4</v>
      </c>
      <c r="H51" s="54" t="s">
        <v>88</v>
      </c>
    </row>
    <row r="52" ht="25.5" customHeight="1" spans="1:8">
      <c r="A52" s="15"/>
      <c r="B52" s="55" t="s">
        <v>89</v>
      </c>
      <c r="C52" s="44">
        <f>H40*H42/10000</f>
        <v>150</v>
      </c>
      <c r="D52" s="55" t="s">
        <v>90</v>
      </c>
      <c r="E52" s="44" t="e">
        <f>IF(#REF!="是",(H50+C51+G51+#REF!),(C51+G51+#REF!))</f>
        <v>#REF!</v>
      </c>
      <c r="F52" s="44"/>
      <c r="G52" s="56" t="s">
        <v>91</v>
      </c>
      <c r="H52" s="44" t="e">
        <f>(C52-E52)</f>
        <v>#REF!</v>
      </c>
    </row>
    <row r="53" customHeight="1" spans="1:8">
      <c r="A53" s="15"/>
      <c r="B53" s="40" t="s">
        <v>92</v>
      </c>
      <c r="C53" s="40"/>
      <c r="D53" s="51" t="e">
        <f>H6/(H52+G51)</f>
        <v>#REF!</v>
      </c>
      <c r="E53" s="21" t="s">
        <v>93</v>
      </c>
      <c r="F53" s="42"/>
      <c r="G53" s="42" t="s">
        <v>94</v>
      </c>
      <c r="H53" s="42"/>
    </row>
    <row r="54" customHeight="1" spans="1:8">
      <c r="A54" s="15"/>
      <c r="B54" s="38" t="s">
        <v>95</v>
      </c>
      <c r="C54" s="57"/>
      <c r="D54" s="57"/>
      <c r="E54" s="57"/>
      <c r="F54" s="57"/>
      <c r="G54" s="57"/>
      <c r="H54" s="57"/>
    </row>
    <row r="55" ht="116.25" customHeight="1" spans="1:8">
      <c r="A55" s="15"/>
      <c r="B55" s="57"/>
      <c r="C55" s="57"/>
      <c r="D55" s="57"/>
      <c r="E55" s="57"/>
      <c r="F55" s="57"/>
      <c r="G55" s="57"/>
      <c r="H55" s="57"/>
    </row>
    <row r="56" customHeight="1" spans="1:8">
      <c r="A56" s="15"/>
      <c r="B56" s="38" t="s">
        <v>96</v>
      </c>
      <c r="C56" s="38"/>
      <c r="D56" s="38"/>
      <c r="E56" s="38"/>
      <c r="F56" s="38"/>
      <c r="G56" s="38"/>
      <c r="H56" s="38"/>
    </row>
    <row r="57" ht="103.15" customHeight="1" spans="1:8">
      <c r="A57" s="15"/>
      <c r="B57" s="38"/>
      <c r="C57" s="38"/>
      <c r="D57" s="38"/>
      <c r="E57" s="38"/>
      <c r="F57" s="38"/>
      <c r="G57" s="38"/>
      <c r="H57" s="38"/>
    </row>
    <row r="58" spans="1:8">
      <c r="A58" s="15" t="s">
        <v>97</v>
      </c>
      <c r="B58" s="58" t="s">
        <v>98</v>
      </c>
      <c r="C58" s="59" t="s">
        <v>99</v>
      </c>
      <c r="D58" s="59"/>
      <c r="E58" s="59"/>
      <c r="F58" s="59"/>
      <c r="G58" s="59"/>
      <c r="H58" s="59"/>
    </row>
    <row r="59" spans="1:8">
      <c r="A59" s="15"/>
      <c r="B59" s="60"/>
      <c r="C59" s="59"/>
      <c r="D59" s="59"/>
      <c r="E59" s="59"/>
      <c r="F59" s="59"/>
      <c r="G59" s="59"/>
      <c r="H59" s="59"/>
    </row>
    <row r="60" ht="15" spans="1:8">
      <c r="A60" s="15"/>
      <c r="B60" s="61" t="s">
        <v>100</v>
      </c>
      <c r="C60" s="59" t="s">
        <v>101</v>
      </c>
      <c r="D60" s="59"/>
      <c r="E60" s="59"/>
      <c r="F60" s="59"/>
      <c r="G60" s="59"/>
      <c r="H60" s="59"/>
    </row>
    <row r="61" spans="1:8">
      <c r="A61" s="15"/>
      <c r="B61" s="61" t="s">
        <v>102</v>
      </c>
      <c r="C61" s="62" t="s">
        <v>103</v>
      </c>
      <c r="D61" s="62"/>
      <c r="E61" s="62"/>
      <c r="F61" s="62"/>
      <c r="G61" s="62"/>
      <c r="H61" s="62"/>
    </row>
    <row r="62" ht="15" spans="1:8">
      <c r="A62" s="15"/>
      <c r="B62" s="61" t="s">
        <v>104</v>
      </c>
      <c r="C62" s="59" t="s">
        <v>105</v>
      </c>
      <c r="D62" s="59"/>
      <c r="E62" s="59"/>
      <c r="F62" s="59"/>
      <c r="G62" s="59"/>
      <c r="H62" s="59"/>
    </row>
    <row r="63" ht="15" spans="1:8">
      <c r="A63" s="15"/>
      <c r="B63" s="61" t="s">
        <v>106</v>
      </c>
      <c r="C63" s="59" t="s">
        <v>107</v>
      </c>
      <c r="D63" s="59"/>
      <c r="E63" s="59"/>
      <c r="F63" s="59"/>
      <c r="G63" s="59"/>
      <c r="H63" s="59"/>
    </row>
    <row r="64" ht="30.95" customHeight="1" spans="1:8">
      <c r="A64" s="15"/>
      <c r="B64" s="19" t="s">
        <v>108</v>
      </c>
      <c r="C64" s="63" t="s">
        <v>109</v>
      </c>
      <c r="D64" s="63"/>
      <c r="E64" s="63"/>
      <c r="F64" s="63"/>
      <c r="G64" s="63"/>
      <c r="H64" s="63"/>
    </row>
    <row r="65" spans="1:8">
      <c r="A65" s="65" t="s">
        <v>110</v>
      </c>
      <c r="B65" s="66" t="s">
        <v>111</v>
      </c>
      <c r="C65" s="66"/>
      <c r="D65" s="66"/>
      <c r="E65" s="66"/>
      <c r="F65" s="66"/>
      <c r="G65" s="66"/>
      <c r="H65" s="66"/>
    </row>
    <row r="66" ht="15" spans="1:8">
      <c r="A66" s="65"/>
      <c r="B66" s="67" t="s">
        <v>112</v>
      </c>
      <c r="C66" s="66"/>
      <c r="D66" s="66"/>
      <c r="E66" s="66"/>
      <c r="F66" s="66"/>
      <c r="G66" s="66"/>
      <c r="H66" s="66"/>
    </row>
    <row r="67" ht="15" spans="1:8">
      <c r="A67" s="65"/>
      <c r="B67" s="67" t="s">
        <v>113</v>
      </c>
      <c r="C67" s="66"/>
      <c r="D67" s="66"/>
      <c r="E67" s="66"/>
      <c r="F67" s="66"/>
      <c r="G67" s="66"/>
      <c r="H67" s="66"/>
    </row>
    <row r="68" spans="1:8">
      <c r="A68" s="65"/>
      <c r="B68" s="66" t="s">
        <v>114</v>
      </c>
      <c r="C68" s="66"/>
      <c r="D68" s="66"/>
      <c r="E68" s="66"/>
      <c r="F68" s="66"/>
      <c r="G68" s="66"/>
      <c r="H68" s="66"/>
    </row>
    <row r="69" spans="1:8">
      <c r="A69" s="65"/>
      <c r="B69" s="66" t="s">
        <v>115</v>
      </c>
      <c r="C69" s="66"/>
      <c r="D69" s="66"/>
      <c r="E69" s="66"/>
      <c r="F69" s="66"/>
      <c r="G69" s="66"/>
      <c r="H69" s="66"/>
    </row>
    <row r="70" spans="1:8">
      <c r="A70" s="65"/>
      <c r="B70" s="66" t="s">
        <v>116</v>
      </c>
      <c r="C70" s="66"/>
      <c r="D70" s="66"/>
      <c r="E70" s="66"/>
      <c r="F70" s="66"/>
      <c r="G70" s="66"/>
      <c r="H70" s="66"/>
    </row>
    <row r="71" spans="1:8">
      <c r="A71" s="65"/>
      <c r="B71" s="68" t="s">
        <v>117</v>
      </c>
      <c r="C71" s="68"/>
      <c r="D71" s="68"/>
      <c r="E71" s="68"/>
      <c r="F71" s="68"/>
      <c r="G71" s="68"/>
      <c r="H71" s="68"/>
    </row>
    <row r="72" ht="15" customHeight="1" spans="1:8">
      <c r="A72" s="65"/>
      <c r="B72" s="68"/>
      <c r="C72" s="68"/>
      <c r="D72" s="68"/>
      <c r="E72" s="68"/>
      <c r="F72" s="68"/>
      <c r="G72" s="68"/>
      <c r="H72" s="68"/>
    </row>
    <row r="73" ht="27.75" customHeight="1" spans="1:8">
      <c r="A73" s="65"/>
      <c r="B73" s="68"/>
      <c r="C73" s="68"/>
      <c r="D73" s="68"/>
      <c r="E73" s="68"/>
      <c r="F73" s="68"/>
      <c r="G73" s="68"/>
      <c r="H73" s="68"/>
    </row>
    <row r="74" ht="14.25" spans="1:8">
      <c r="A74" s="69"/>
      <c r="B74" s="69"/>
      <c r="C74" s="69"/>
      <c r="D74" s="69"/>
      <c r="E74" s="69"/>
      <c r="F74" s="69"/>
      <c r="G74" s="69"/>
      <c r="H74" s="69"/>
    </row>
    <row r="75" ht="14.25" spans="1:8">
      <c r="A75" s="70" t="s">
        <v>118</v>
      </c>
      <c r="B75" s="70"/>
      <c r="C75" s="70"/>
      <c r="D75" s="70"/>
      <c r="E75" s="70"/>
      <c r="F75" s="70"/>
      <c r="G75" s="70"/>
      <c r="H75" s="70"/>
    </row>
    <row r="76" ht="15.75" spans="1:1">
      <c r="A76" s="71"/>
    </row>
    <row r="77" ht="15.75" spans="1:1">
      <c r="A77" s="71"/>
    </row>
  </sheetData>
  <mergeCells count="85">
    <mergeCell ref="B3:C3"/>
    <mergeCell ref="F3:G3"/>
    <mergeCell ref="B6:C6"/>
    <mergeCell ref="D6:G6"/>
    <mergeCell ref="B7:C7"/>
    <mergeCell ref="D7:G7"/>
    <mergeCell ref="B8:H8"/>
    <mergeCell ref="B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C30:H30"/>
    <mergeCell ref="F31:H31"/>
    <mergeCell ref="B39:H39"/>
    <mergeCell ref="B40:G40"/>
    <mergeCell ref="B41:G41"/>
    <mergeCell ref="B42:G42"/>
    <mergeCell ref="B43:H43"/>
    <mergeCell ref="C44:D44"/>
    <mergeCell ref="E44:F44"/>
    <mergeCell ref="G44:H44"/>
    <mergeCell ref="C45:D45"/>
    <mergeCell ref="E45:F45"/>
    <mergeCell ref="G45:H45"/>
    <mergeCell ref="C46:D46"/>
    <mergeCell ref="E46:F46"/>
    <mergeCell ref="G46:H46"/>
    <mergeCell ref="C47:D47"/>
    <mergeCell ref="E47:F47"/>
    <mergeCell ref="G47:H47"/>
    <mergeCell ref="D48:E48"/>
    <mergeCell ref="G48:H48"/>
    <mergeCell ref="C49:D49"/>
    <mergeCell ref="E49:F49"/>
    <mergeCell ref="G49:H49"/>
    <mergeCell ref="C50:E50"/>
    <mergeCell ref="F50:G50"/>
    <mergeCell ref="E52:F52"/>
    <mergeCell ref="B53:C53"/>
    <mergeCell ref="G53:H53"/>
    <mergeCell ref="C60:H60"/>
    <mergeCell ref="C61:H61"/>
    <mergeCell ref="C62:H62"/>
    <mergeCell ref="C63:H63"/>
    <mergeCell ref="C64:H64"/>
    <mergeCell ref="B65:H65"/>
    <mergeCell ref="B66:H66"/>
    <mergeCell ref="B67:H67"/>
    <mergeCell ref="B68:H68"/>
    <mergeCell ref="B69:H69"/>
    <mergeCell ref="B70:H70"/>
    <mergeCell ref="A75:H75"/>
    <mergeCell ref="A4:A5"/>
    <mergeCell ref="A8:A10"/>
    <mergeCell ref="A11:A26"/>
    <mergeCell ref="A27:A29"/>
    <mergeCell ref="A35:A57"/>
    <mergeCell ref="A58:A64"/>
    <mergeCell ref="A65:A73"/>
    <mergeCell ref="B30:B34"/>
    <mergeCell ref="B58:B59"/>
    <mergeCell ref="B4:G5"/>
    <mergeCell ref="A1:H2"/>
    <mergeCell ref="C58:H59"/>
    <mergeCell ref="B35:H38"/>
    <mergeCell ref="B54:H55"/>
    <mergeCell ref="B71:H73"/>
    <mergeCell ref="B56:H57"/>
  </mergeCells>
  <dataValidations count="3">
    <dataValidation type="list" allowBlank="1" showInputMessage="1" showErrorMessage="1" sqref="C48 F48">
      <formula1>"是,否"</formula1>
    </dataValidation>
    <dataValidation allowBlank="1" showInputMessage="1" showErrorMessage="1" sqref="C50:E50"/>
    <dataValidation type="list" allowBlank="1" showInputMessage="1" showErrorMessage="1" sqref="E51">
      <formula1>'医院固定资产折旧年限表 '!$G$18:$G$20</formula1>
    </dataValidation>
  </dataValidations>
  <pageMargins left="0.7" right="0.7" top="0.75" bottom="0.75" header="0.3" footer="0.3"/>
  <pageSetup paperSize="9" orientation="portrait" horizontalDpi="200" verticalDpi="300"/>
  <headerFooter/>
  <drawing r:id="rId2"/>
  <legacyDrawing r:id="rId3"/>
  <mc:AlternateContent xmlns:mc="http://schemas.openxmlformats.org/markup-compatibility/2006">
    <mc:Choice Requires="x14">
      <controls>
        <mc:AlternateContent xmlns:mc="http://schemas.openxmlformats.org/markup-compatibility/2006">
          <mc:Choice Requires="x14">
            <control shapeId="1046" name="Check Box 22" r:id="rId4">
              <controlPr defaultSize="0">
                <anchor moveWithCells="1">
                  <from>
                    <xdr:col>1</xdr:col>
                    <xdr:colOff>695325</xdr:colOff>
                    <xdr:row>25</xdr:row>
                    <xdr:rowOff>152400</xdr:rowOff>
                  </from>
                  <to>
                    <xdr:col>2</xdr:col>
                    <xdr:colOff>457200</xdr:colOff>
                    <xdr:row>27</xdr:row>
                    <xdr:rowOff>9525</xdr:rowOff>
                  </to>
                </anchor>
              </controlPr>
            </control>
          </mc:Choice>
        </mc:AlternateContent>
        <mc:AlternateContent xmlns:mc="http://schemas.openxmlformats.org/markup-compatibility/2006">
          <mc:Choice Requires="x14">
            <control shapeId="1047" name="Check Box 23" r:id="rId5">
              <controlPr defaultSize="0">
                <anchor moveWithCells="1">
                  <from>
                    <xdr:col>2</xdr:col>
                    <xdr:colOff>295275</xdr:colOff>
                    <xdr:row>25</xdr:row>
                    <xdr:rowOff>152400</xdr:rowOff>
                  </from>
                  <to>
                    <xdr:col>3</xdr:col>
                    <xdr:colOff>257175</xdr:colOff>
                    <xdr:row>27</xdr:row>
                    <xdr:rowOff>9525</xdr:rowOff>
                  </to>
                </anchor>
              </controlPr>
            </control>
          </mc:Choice>
        </mc:AlternateContent>
        <mc:AlternateContent xmlns:mc="http://schemas.openxmlformats.org/markup-compatibility/2006">
          <mc:Choice Requires="x14">
            <control shapeId="1048" name="Check Box 24" r:id="rId6">
              <controlPr defaultSize="0">
                <anchor moveWithCells="1">
                  <from>
                    <xdr:col>1</xdr:col>
                    <xdr:colOff>695325</xdr:colOff>
                    <xdr:row>26</xdr:row>
                    <xdr:rowOff>152400</xdr:rowOff>
                  </from>
                  <to>
                    <xdr:col>2</xdr:col>
                    <xdr:colOff>457200</xdr:colOff>
                    <xdr:row>28</xdr:row>
                    <xdr:rowOff>9525</xdr:rowOff>
                  </to>
                </anchor>
              </controlPr>
            </control>
          </mc:Choice>
        </mc:AlternateContent>
        <mc:AlternateContent xmlns:mc="http://schemas.openxmlformats.org/markup-compatibility/2006">
          <mc:Choice Requires="x14">
            <control shapeId="1049" name="Check Box 25" r:id="rId7">
              <controlPr defaultSize="0">
                <anchor moveWithCells="1">
                  <from>
                    <xdr:col>2</xdr:col>
                    <xdr:colOff>295275</xdr:colOff>
                    <xdr:row>26</xdr:row>
                    <xdr:rowOff>161925</xdr:rowOff>
                  </from>
                  <to>
                    <xdr:col>3</xdr:col>
                    <xdr:colOff>257175</xdr:colOff>
                    <xdr:row>28</xdr:row>
                    <xdr:rowOff>23495</xdr:rowOff>
                  </to>
                </anchor>
              </controlPr>
            </control>
          </mc:Choice>
        </mc:AlternateContent>
        <mc:AlternateContent xmlns:mc="http://schemas.openxmlformats.org/markup-compatibility/2006">
          <mc:Choice Requires="x14">
            <control shapeId="1050" name="Check Box 26" r:id="rId8">
              <controlPr defaultSize="0">
                <anchor moveWithCells="1">
                  <from>
                    <xdr:col>1</xdr:col>
                    <xdr:colOff>695325</xdr:colOff>
                    <xdr:row>27</xdr:row>
                    <xdr:rowOff>142875</xdr:rowOff>
                  </from>
                  <to>
                    <xdr:col>2</xdr:col>
                    <xdr:colOff>457200</xdr:colOff>
                    <xdr:row>29</xdr:row>
                    <xdr:rowOff>28575</xdr:rowOff>
                  </to>
                </anchor>
              </controlPr>
            </control>
          </mc:Choice>
        </mc:AlternateContent>
        <mc:AlternateContent xmlns:mc="http://schemas.openxmlformats.org/markup-compatibility/2006">
          <mc:Choice Requires="x14">
            <control shapeId="1051" name="Check Box 27" r:id="rId9">
              <controlPr defaultSize="0">
                <anchor moveWithCells="1">
                  <from>
                    <xdr:col>2</xdr:col>
                    <xdr:colOff>295275</xdr:colOff>
                    <xdr:row>27</xdr:row>
                    <xdr:rowOff>161925</xdr:rowOff>
                  </from>
                  <to>
                    <xdr:col>3</xdr:col>
                    <xdr:colOff>257175</xdr:colOff>
                    <xdr:row>29</xdr:row>
                    <xdr:rowOff>23495</xdr:rowOff>
                  </to>
                </anchor>
              </controlPr>
            </control>
          </mc:Choice>
        </mc:AlternateContent>
        <mc:AlternateContent xmlns:mc="http://schemas.openxmlformats.org/markup-compatibility/2006">
          <mc:Choice Requires="x14">
            <control shapeId="1052" name="Check Box 28" r:id="rId10">
              <controlPr defaultSize="0">
                <anchor moveWithCells="1">
                  <from>
                    <xdr:col>1</xdr:col>
                    <xdr:colOff>38100</xdr:colOff>
                    <xdr:row>65</xdr:row>
                    <xdr:rowOff>9525</xdr:rowOff>
                  </from>
                  <to>
                    <xdr:col>1</xdr:col>
                    <xdr:colOff>714375</xdr:colOff>
                    <xdr:row>66</xdr:row>
                    <xdr:rowOff>23495</xdr:rowOff>
                  </to>
                </anchor>
              </controlPr>
            </control>
          </mc:Choice>
        </mc:AlternateContent>
        <mc:AlternateContent xmlns:mc="http://schemas.openxmlformats.org/markup-compatibility/2006">
          <mc:Choice Requires="x14">
            <control shapeId="1053" name="Check Box 29" r:id="rId11">
              <controlPr defaultSize="0">
                <anchor moveWithCells="1">
                  <from>
                    <xdr:col>2</xdr:col>
                    <xdr:colOff>352425</xdr:colOff>
                    <xdr:row>65</xdr:row>
                    <xdr:rowOff>0</xdr:rowOff>
                  </from>
                  <to>
                    <xdr:col>3</xdr:col>
                    <xdr:colOff>314325</xdr:colOff>
                    <xdr:row>66</xdr:row>
                    <xdr:rowOff>9525</xdr:rowOff>
                  </to>
                </anchor>
              </controlPr>
            </control>
          </mc:Choice>
        </mc:AlternateContent>
        <mc:AlternateContent xmlns:mc="http://schemas.openxmlformats.org/markup-compatibility/2006">
          <mc:Choice Requires="x14">
            <control shapeId="1055" name="Check Box 31" r:id="rId12">
              <controlPr defaultSize="0">
                <anchor moveWithCells="1">
                  <from>
                    <xdr:col>4</xdr:col>
                    <xdr:colOff>381000</xdr:colOff>
                    <xdr:row>65</xdr:row>
                    <xdr:rowOff>0</xdr:rowOff>
                  </from>
                  <to>
                    <xdr:col>5</xdr:col>
                    <xdr:colOff>238125</xdr:colOff>
                    <xdr:row>66</xdr:row>
                    <xdr:rowOff>23495</xdr:rowOff>
                  </to>
                </anchor>
              </controlPr>
            </control>
          </mc:Choice>
        </mc:AlternateContent>
        <mc:AlternateContent xmlns:mc="http://schemas.openxmlformats.org/markup-compatibility/2006">
          <mc:Choice Requires="x14">
            <control shapeId="1056" name="Check Box 32" r:id="rId13">
              <controlPr defaultSize="0">
                <anchor moveWithCells="1">
                  <from>
                    <xdr:col>1</xdr:col>
                    <xdr:colOff>38100</xdr:colOff>
                    <xdr:row>66</xdr:row>
                    <xdr:rowOff>9525</xdr:rowOff>
                  </from>
                  <to>
                    <xdr:col>1</xdr:col>
                    <xdr:colOff>714375</xdr:colOff>
                    <xdr:row>67</xdr:row>
                    <xdr:rowOff>23495</xdr:rowOff>
                  </to>
                </anchor>
              </controlPr>
            </control>
          </mc:Choice>
        </mc:AlternateContent>
        <mc:AlternateContent xmlns:mc="http://schemas.openxmlformats.org/markup-compatibility/2006">
          <mc:Choice Requires="x14">
            <control shapeId="1057" name="Check Box 33" r:id="rId14">
              <controlPr defaultSize="0">
                <anchor moveWithCells="1">
                  <from>
                    <xdr:col>1</xdr:col>
                    <xdr:colOff>561975</xdr:colOff>
                    <xdr:row>67</xdr:row>
                    <xdr:rowOff>152400</xdr:rowOff>
                  </from>
                  <to>
                    <xdr:col>2</xdr:col>
                    <xdr:colOff>328295</xdr:colOff>
                    <xdr:row>69</xdr:row>
                    <xdr:rowOff>9525</xdr:rowOff>
                  </to>
                </anchor>
              </controlPr>
            </control>
          </mc:Choice>
        </mc:AlternateContent>
        <mc:AlternateContent xmlns:mc="http://schemas.openxmlformats.org/markup-compatibility/2006">
          <mc:Choice Requires="x14">
            <control shapeId="1058" name="Check Box 34" r:id="rId15">
              <controlPr defaultSize="0">
                <anchor moveWithCells="1">
                  <from>
                    <xdr:col>2</xdr:col>
                    <xdr:colOff>333375</xdr:colOff>
                    <xdr:row>67</xdr:row>
                    <xdr:rowOff>161925</xdr:rowOff>
                  </from>
                  <to>
                    <xdr:col>3</xdr:col>
                    <xdr:colOff>295275</xdr:colOff>
                    <xdr:row>69</xdr:row>
                    <xdr:rowOff>23495</xdr:rowOff>
                  </to>
                </anchor>
              </controlPr>
            </control>
          </mc:Choice>
        </mc:AlternateContent>
        <mc:AlternateContent xmlns:mc="http://schemas.openxmlformats.org/markup-compatibility/2006">
          <mc:Choice Requires="x14">
            <control shapeId="1060" name="Check Box 36" r:id="rId16">
              <controlPr defaultSize="0">
                <anchor moveWithCells="1">
                  <from>
                    <xdr:col>3</xdr:col>
                    <xdr:colOff>523875</xdr:colOff>
                    <xdr:row>67</xdr:row>
                    <xdr:rowOff>152400</xdr:rowOff>
                  </from>
                  <to>
                    <xdr:col>3</xdr:col>
                    <xdr:colOff>1213485</xdr:colOff>
                    <xdr:row>69</xdr:row>
                    <xdr:rowOff>23495</xdr:rowOff>
                  </to>
                </anchor>
              </controlPr>
            </control>
          </mc:Choice>
        </mc:AlternateContent>
        <mc:AlternateContent xmlns:mc="http://schemas.openxmlformats.org/markup-compatibility/2006">
          <mc:Choice Requires="x14">
            <control shapeId="1061" name="Check Box 37" r:id="rId17">
              <controlPr defaultSize="0">
                <anchor moveWithCells="1">
                  <from>
                    <xdr:col>1</xdr:col>
                    <xdr:colOff>561975</xdr:colOff>
                    <xdr:row>68</xdr:row>
                    <xdr:rowOff>161925</xdr:rowOff>
                  </from>
                  <to>
                    <xdr:col>2</xdr:col>
                    <xdr:colOff>328295</xdr:colOff>
                    <xdr:row>70</xdr:row>
                    <xdr:rowOff>23495</xdr:rowOff>
                  </to>
                </anchor>
              </controlPr>
            </control>
          </mc:Choice>
        </mc:AlternateContent>
        <mc:AlternateContent xmlns:mc="http://schemas.openxmlformats.org/markup-compatibility/2006">
          <mc:Choice Requires="x14">
            <control shapeId="1062" name="Check Box 38" r:id="rId18">
              <controlPr defaultSize="0">
                <anchor moveWithCells="1">
                  <from>
                    <xdr:col>2</xdr:col>
                    <xdr:colOff>333375</xdr:colOff>
                    <xdr:row>68</xdr:row>
                    <xdr:rowOff>152400</xdr:rowOff>
                  </from>
                  <to>
                    <xdr:col>3</xdr:col>
                    <xdr:colOff>295275</xdr:colOff>
                    <xdr:row>70</xdr:row>
                    <xdr:rowOff>9525</xdr:rowOff>
                  </to>
                </anchor>
              </controlPr>
            </control>
          </mc:Choice>
        </mc:AlternateContent>
        <mc:AlternateContent xmlns:mc="http://schemas.openxmlformats.org/markup-compatibility/2006">
          <mc:Choice Requires="x14">
            <control shapeId="1063" name="Check Box 39" r:id="rId19">
              <controlPr defaultSize="0">
                <anchor moveWithCells="1">
                  <from>
                    <xdr:col>3</xdr:col>
                    <xdr:colOff>533400</xdr:colOff>
                    <xdr:row>68</xdr:row>
                    <xdr:rowOff>152400</xdr:rowOff>
                  </from>
                  <to>
                    <xdr:col>3</xdr:col>
                    <xdr:colOff>1189355</xdr:colOff>
                    <xdr:row>70</xdr:row>
                    <xdr:rowOff>23495</xdr:rowOff>
                  </to>
                </anchor>
              </controlPr>
            </control>
          </mc:Choice>
        </mc:AlternateContent>
        <mc:AlternateContent xmlns:mc="http://schemas.openxmlformats.org/markup-compatibility/2006">
          <mc:Choice Requires="x14">
            <control shapeId="1064" name="Check Box 40" r:id="rId20">
              <controlPr defaultSize="0">
                <anchor moveWithCells="1">
                  <from>
                    <xdr:col>7</xdr:col>
                    <xdr:colOff>61595</xdr:colOff>
                    <xdr:row>2</xdr:row>
                    <xdr:rowOff>190500</xdr:rowOff>
                  </from>
                  <to>
                    <xdr:col>8</xdr:col>
                    <xdr:colOff>104775</xdr:colOff>
                    <xdr:row>4</xdr:row>
                    <xdr:rowOff>9525</xdr:rowOff>
                  </to>
                </anchor>
              </controlPr>
            </control>
          </mc:Choice>
        </mc:AlternateContent>
        <mc:AlternateContent xmlns:mc="http://schemas.openxmlformats.org/markup-compatibility/2006">
          <mc:Choice Requires="x14">
            <control shapeId="1065" name="Check Box 41" r:id="rId21">
              <controlPr defaultSize="0">
                <anchor moveWithCells="1">
                  <from>
                    <xdr:col>7</xdr:col>
                    <xdr:colOff>61595</xdr:colOff>
                    <xdr:row>4</xdr:row>
                    <xdr:rowOff>0</xdr:rowOff>
                  </from>
                  <to>
                    <xdr:col>8</xdr:col>
                    <xdr:colOff>104775</xdr:colOff>
                    <xdr:row>5</xdr:row>
                    <xdr:rowOff>0</xdr:rowOff>
                  </to>
                </anchor>
              </controlPr>
            </control>
          </mc:Choice>
        </mc:AlternateContent>
        <mc:AlternateContent xmlns:mc="http://schemas.openxmlformats.org/markup-compatibility/2006">
          <mc:Choice Requires="x14">
            <control shapeId="1068" name="Check Box 44" r:id="rId22">
              <controlPr defaultSize="0">
                <anchor moveWithCells="1">
                  <from>
                    <xdr:col>6</xdr:col>
                    <xdr:colOff>204470</xdr:colOff>
                    <xdr:row>51</xdr:row>
                    <xdr:rowOff>304800</xdr:rowOff>
                  </from>
                  <to>
                    <xdr:col>6</xdr:col>
                    <xdr:colOff>670560</xdr:colOff>
                    <xdr:row>53</xdr:row>
                    <xdr:rowOff>47625</xdr:rowOff>
                  </to>
                </anchor>
              </controlPr>
            </control>
          </mc:Choice>
        </mc:AlternateContent>
        <mc:AlternateContent xmlns:mc="http://schemas.openxmlformats.org/markup-compatibility/2006">
          <mc:Choice Requires="x14">
            <control shapeId="1069" name="Check Box 45" r:id="rId23">
              <controlPr defaultSize="0">
                <anchor moveWithCells="1">
                  <from>
                    <xdr:col>8</xdr:col>
                    <xdr:colOff>0</xdr:colOff>
                    <xdr:row>50</xdr:row>
                    <xdr:rowOff>295275</xdr:rowOff>
                  </from>
                  <to>
                    <xdr:col>8</xdr:col>
                    <xdr:colOff>433070</xdr:colOff>
                    <xdr:row>51</xdr:row>
                    <xdr:rowOff>252095</xdr:rowOff>
                  </to>
                </anchor>
              </controlPr>
            </control>
          </mc:Choice>
        </mc:AlternateContent>
        <mc:AlternateContent xmlns:mc="http://schemas.openxmlformats.org/markup-compatibility/2006">
          <mc:Choice Requires="x14">
            <control shapeId="1075" name="Check Box 51" r:id="rId24">
              <controlPr defaultSize="0">
                <anchor moveWithCells="1">
                  <from>
                    <xdr:col>1</xdr:col>
                    <xdr:colOff>180975</xdr:colOff>
                    <xdr:row>6</xdr:row>
                    <xdr:rowOff>180975</xdr:rowOff>
                  </from>
                  <to>
                    <xdr:col>1</xdr:col>
                    <xdr:colOff>623570</xdr:colOff>
                    <xdr:row>8</xdr:row>
                    <xdr:rowOff>13970</xdr:rowOff>
                  </to>
                </anchor>
              </controlPr>
            </control>
          </mc:Choice>
        </mc:AlternateContent>
        <mc:AlternateContent xmlns:mc="http://schemas.openxmlformats.org/markup-compatibility/2006">
          <mc:Choice Requires="x14">
            <control shapeId="1076" name="Check Box 52" r:id="rId25">
              <controlPr defaultSize="0">
                <anchor moveWithCells="1">
                  <from>
                    <xdr:col>3</xdr:col>
                    <xdr:colOff>123825</xdr:colOff>
                    <xdr:row>6</xdr:row>
                    <xdr:rowOff>137795</xdr:rowOff>
                  </from>
                  <to>
                    <xdr:col>3</xdr:col>
                    <xdr:colOff>556895</xdr:colOff>
                    <xdr:row>8</xdr:row>
                    <xdr:rowOff>66675</xdr:rowOff>
                  </to>
                </anchor>
              </controlPr>
            </control>
          </mc:Choice>
        </mc:AlternateContent>
        <mc:AlternateContent xmlns:mc="http://schemas.openxmlformats.org/markup-compatibility/2006">
          <mc:Choice Requires="x14">
            <control shapeId="1077" name="Check Box 53" r:id="rId26">
              <controlPr defaultSize="0">
                <anchor moveWithCells="1">
                  <from>
                    <xdr:col>6</xdr:col>
                    <xdr:colOff>314325</xdr:colOff>
                    <xdr:row>6</xdr:row>
                    <xdr:rowOff>180975</xdr:rowOff>
                  </from>
                  <to>
                    <xdr:col>6</xdr:col>
                    <xdr:colOff>746760</xdr:colOff>
                    <xdr:row>8</xdr:row>
                    <xdr:rowOff>28575</xdr:rowOff>
                  </to>
                </anchor>
              </controlPr>
            </control>
          </mc:Choice>
        </mc:AlternateContent>
        <mc:AlternateContent xmlns:mc="http://schemas.openxmlformats.org/markup-compatibility/2006">
          <mc:Choice Requires="x14">
            <control shapeId="1078" name="Check Box 54" r:id="rId27">
              <controlPr defaultSize="0">
                <anchor moveWithCells="1">
                  <from>
                    <xdr:col>1</xdr:col>
                    <xdr:colOff>38100</xdr:colOff>
                    <xdr:row>15</xdr:row>
                    <xdr:rowOff>180975</xdr:rowOff>
                  </from>
                  <to>
                    <xdr:col>1</xdr:col>
                    <xdr:colOff>504825</xdr:colOff>
                    <xdr:row>17</xdr:row>
                    <xdr:rowOff>23495</xdr:rowOff>
                  </to>
                </anchor>
              </controlPr>
            </control>
          </mc:Choice>
        </mc:AlternateContent>
        <mc:AlternateContent xmlns:mc="http://schemas.openxmlformats.org/markup-compatibility/2006">
          <mc:Choice Requires="x14">
            <control shapeId="1079" name="Check Box 55" r:id="rId28">
              <controlPr defaultSize="0">
                <anchor moveWithCells="1">
                  <from>
                    <xdr:col>3</xdr:col>
                    <xdr:colOff>99695</xdr:colOff>
                    <xdr:row>15</xdr:row>
                    <xdr:rowOff>180975</xdr:rowOff>
                  </from>
                  <to>
                    <xdr:col>3</xdr:col>
                    <xdr:colOff>571500</xdr:colOff>
                    <xdr:row>17</xdr:row>
                    <xdr:rowOff>23495</xdr:rowOff>
                  </to>
                </anchor>
              </controlPr>
            </control>
          </mc:Choice>
        </mc:AlternateContent>
        <mc:AlternateContent xmlns:mc="http://schemas.openxmlformats.org/markup-compatibility/2006">
          <mc:Choice Requires="x14">
            <control shapeId="1080" name="Check Box 56" r:id="rId29">
              <controlPr defaultSize="0">
                <anchor moveWithCells="1">
                  <from>
                    <xdr:col>1</xdr:col>
                    <xdr:colOff>38100</xdr:colOff>
                    <xdr:row>16</xdr:row>
                    <xdr:rowOff>142875</xdr:rowOff>
                  </from>
                  <to>
                    <xdr:col>1</xdr:col>
                    <xdr:colOff>471170</xdr:colOff>
                    <xdr:row>18</xdr:row>
                    <xdr:rowOff>28575</xdr:rowOff>
                  </to>
                </anchor>
              </controlPr>
            </control>
          </mc:Choice>
        </mc:AlternateContent>
        <mc:AlternateContent xmlns:mc="http://schemas.openxmlformats.org/markup-compatibility/2006">
          <mc:Choice Requires="x14">
            <control shapeId="1081" name="Check Box 57" r:id="rId30">
              <controlPr defaultSize="0">
                <anchor moveWithCells="1">
                  <from>
                    <xdr:col>1</xdr:col>
                    <xdr:colOff>38100</xdr:colOff>
                    <xdr:row>18</xdr:row>
                    <xdr:rowOff>166370</xdr:rowOff>
                  </from>
                  <to>
                    <xdr:col>1</xdr:col>
                    <xdr:colOff>480695</xdr:colOff>
                    <xdr:row>20</xdr:row>
                    <xdr:rowOff>28575</xdr:rowOff>
                  </to>
                </anchor>
              </controlPr>
            </control>
          </mc:Choice>
        </mc:AlternateContent>
        <mc:AlternateContent xmlns:mc="http://schemas.openxmlformats.org/markup-compatibility/2006">
          <mc:Choice Requires="x14">
            <control shapeId="1082" name="Check Box 58" r:id="rId31">
              <controlPr defaultSize="0">
                <anchor moveWithCells="1">
                  <from>
                    <xdr:col>1</xdr:col>
                    <xdr:colOff>38100</xdr:colOff>
                    <xdr:row>19</xdr:row>
                    <xdr:rowOff>142875</xdr:rowOff>
                  </from>
                  <to>
                    <xdr:col>1</xdr:col>
                    <xdr:colOff>466725</xdr:colOff>
                    <xdr:row>21</xdr:row>
                    <xdr:rowOff>23495</xdr:rowOff>
                  </to>
                </anchor>
              </controlPr>
            </control>
          </mc:Choice>
        </mc:AlternateContent>
        <mc:AlternateContent xmlns:mc="http://schemas.openxmlformats.org/markup-compatibility/2006">
          <mc:Choice Requires="x14">
            <control shapeId="1089" name="Check Box 65" r:id="rId32">
              <controlPr defaultSize="0">
                <anchor moveWithCells="1">
                  <from>
                    <xdr:col>1</xdr:col>
                    <xdr:colOff>38100</xdr:colOff>
                    <xdr:row>20</xdr:row>
                    <xdr:rowOff>161925</xdr:rowOff>
                  </from>
                  <to>
                    <xdr:col>1</xdr:col>
                    <xdr:colOff>504825</xdr:colOff>
                    <xdr:row>22</xdr:row>
                    <xdr:rowOff>28575</xdr:rowOff>
                  </to>
                </anchor>
              </controlPr>
            </control>
          </mc:Choice>
        </mc:AlternateContent>
        <mc:AlternateContent xmlns:mc="http://schemas.openxmlformats.org/markup-compatibility/2006">
          <mc:Choice Requires="x14">
            <control shapeId="1090" name="Check Box 66" r:id="rId33">
              <controlPr defaultSize="0">
                <anchor moveWithCells="1">
                  <from>
                    <xdr:col>2</xdr:col>
                    <xdr:colOff>219075</xdr:colOff>
                    <xdr:row>20</xdr:row>
                    <xdr:rowOff>137795</xdr:rowOff>
                  </from>
                  <to>
                    <xdr:col>3</xdr:col>
                    <xdr:colOff>0</xdr:colOff>
                    <xdr:row>22</xdr:row>
                    <xdr:rowOff>38100</xdr:rowOff>
                  </to>
                </anchor>
              </controlPr>
            </control>
          </mc:Choice>
        </mc:AlternateContent>
        <mc:AlternateContent xmlns:mc="http://schemas.openxmlformats.org/markup-compatibility/2006">
          <mc:Choice Requires="x14">
            <control shapeId="1091" name="Check Box 67" r:id="rId34">
              <controlPr defaultSize="0">
                <anchor moveWithCells="1">
                  <from>
                    <xdr:col>3</xdr:col>
                    <xdr:colOff>556895</xdr:colOff>
                    <xdr:row>20</xdr:row>
                    <xdr:rowOff>152400</xdr:rowOff>
                  </from>
                  <to>
                    <xdr:col>3</xdr:col>
                    <xdr:colOff>1022985</xdr:colOff>
                    <xdr:row>22</xdr:row>
                    <xdr:rowOff>28575</xdr:rowOff>
                  </to>
                </anchor>
              </controlPr>
            </control>
          </mc:Choice>
        </mc:AlternateContent>
        <mc:AlternateContent xmlns:mc="http://schemas.openxmlformats.org/markup-compatibility/2006">
          <mc:Choice Requires="x14">
            <control shapeId="1092" name="Check Box 68" r:id="rId35">
              <controlPr defaultSize="0">
                <anchor moveWithCells="1">
                  <from>
                    <xdr:col>5</xdr:col>
                    <xdr:colOff>533400</xdr:colOff>
                    <xdr:row>20</xdr:row>
                    <xdr:rowOff>142875</xdr:rowOff>
                  </from>
                  <to>
                    <xdr:col>6</xdr:col>
                    <xdr:colOff>252095</xdr:colOff>
                    <xdr:row>22</xdr:row>
                    <xdr:rowOff>47625</xdr:rowOff>
                  </to>
                </anchor>
              </controlPr>
            </control>
          </mc:Choice>
        </mc:AlternateContent>
        <mc:AlternateContent xmlns:mc="http://schemas.openxmlformats.org/markup-compatibility/2006">
          <mc:Choice Requires="x14">
            <control shapeId="1093" name="Check Box 69" r:id="rId36">
              <controlPr defaultSize="0">
                <anchor moveWithCells="1">
                  <from>
                    <xdr:col>1</xdr:col>
                    <xdr:colOff>52070</xdr:colOff>
                    <xdr:row>22</xdr:row>
                    <xdr:rowOff>166370</xdr:rowOff>
                  </from>
                  <to>
                    <xdr:col>1</xdr:col>
                    <xdr:colOff>480695</xdr:colOff>
                    <xdr:row>24</xdr:row>
                    <xdr:rowOff>47625</xdr:rowOff>
                  </to>
                </anchor>
              </controlPr>
            </control>
          </mc:Choice>
        </mc:AlternateContent>
        <mc:AlternateContent xmlns:mc="http://schemas.openxmlformats.org/markup-compatibility/2006">
          <mc:Choice Requires="x14">
            <control shapeId="1094" name="Check Box 70" r:id="rId37">
              <controlPr defaultSize="0">
                <anchor moveWithCells="1">
                  <from>
                    <xdr:col>2</xdr:col>
                    <xdr:colOff>328295</xdr:colOff>
                    <xdr:row>22</xdr:row>
                    <xdr:rowOff>166370</xdr:rowOff>
                  </from>
                  <to>
                    <xdr:col>3</xdr:col>
                    <xdr:colOff>47625</xdr:colOff>
                    <xdr:row>24</xdr:row>
                    <xdr:rowOff>23495</xdr:rowOff>
                  </to>
                </anchor>
              </controlPr>
            </control>
          </mc:Choice>
        </mc:AlternateContent>
        <mc:AlternateContent xmlns:mc="http://schemas.openxmlformats.org/markup-compatibility/2006">
          <mc:Choice Requires="x14">
            <control shapeId="1095" name="Check Box 71" r:id="rId38">
              <controlPr defaultSize="0">
                <anchor moveWithCells="1">
                  <from>
                    <xdr:col>3</xdr:col>
                    <xdr:colOff>685800</xdr:colOff>
                    <xdr:row>22</xdr:row>
                    <xdr:rowOff>175895</xdr:rowOff>
                  </from>
                  <to>
                    <xdr:col>3</xdr:col>
                    <xdr:colOff>1118235</xdr:colOff>
                    <xdr:row>24</xdr:row>
                    <xdr:rowOff>23495</xdr:rowOff>
                  </to>
                </anchor>
              </controlPr>
            </control>
          </mc:Choice>
        </mc:AlternateContent>
        <mc:AlternateContent xmlns:mc="http://schemas.openxmlformats.org/markup-compatibility/2006">
          <mc:Choice Requires="x14">
            <control shapeId="1096" name="Check Box 72" r:id="rId39">
              <controlPr defaultSize="0">
                <anchor moveWithCells="1">
                  <from>
                    <xdr:col>5</xdr:col>
                    <xdr:colOff>518795</xdr:colOff>
                    <xdr:row>22</xdr:row>
                    <xdr:rowOff>180975</xdr:rowOff>
                  </from>
                  <to>
                    <xdr:col>6</xdr:col>
                    <xdr:colOff>228600</xdr:colOff>
                    <xdr:row>24</xdr:row>
                    <xdr:rowOff>28575</xdr:rowOff>
                  </to>
                </anchor>
              </controlPr>
            </control>
          </mc:Choice>
        </mc:AlternateContent>
        <mc:AlternateContent xmlns:mc="http://schemas.openxmlformats.org/markup-compatibility/2006">
          <mc:Choice Requires="x14">
            <control shapeId="1097" name="Check Box 73" r:id="rId40">
              <controlPr defaultSize="0">
                <anchor moveWithCells="1">
                  <from>
                    <xdr:col>7</xdr:col>
                    <xdr:colOff>252095</xdr:colOff>
                    <xdr:row>22</xdr:row>
                    <xdr:rowOff>166370</xdr:rowOff>
                  </from>
                  <to>
                    <xdr:col>8</xdr:col>
                    <xdr:colOff>61595</xdr:colOff>
                    <xdr:row>24</xdr:row>
                    <xdr:rowOff>38100</xdr:rowOff>
                  </to>
                </anchor>
              </controlPr>
            </control>
          </mc:Choice>
        </mc:AlternateContent>
        <mc:AlternateContent xmlns:mc="http://schemas.openxmlformats.org/markup-compatibility/2006">
          <mc:Choice Requires="x14">
            <control shapeId="1098" name="Check Box 74" r:id="rId41">
              <controlPr defaultSize="0">
                <anchor moveWithCells="1">
                  <from>
                    <xdr:col>1</xdr:col>
                    <xdr:colOff>47625</xdr:colOff>
                    <xdr:row>24</xdr:row>
                    <xdr:rowOff>175895</xdr:rowOff>
                  </from>
                  <to>
                    <xdr:col>1</xdr:col>
                    <xdr:colOff>480695</xdr:colOff>
                    <xdr:row>26</xdr:row>
                    <xdr:rowOff>23495</xdr:rowOff>
                  </to>
                </anchor>
              </controlPr>
            </control>
          </mc:Choice>
        </mc:AlternateContent>
        <mc:AlternateContent xmlns:mc="http://schemas.openxmlformats.org/markup-compatibility/2006">
          <mc:Choice Requires="x14">
            <control shapeId="1099" name="Check Box 75" r:id="rId42">
              <controlPr defaultSize="0">
                <anchor moveWithCells="1">
                  <from>
                    <xdr:col>2</xdr:col>
                    <xdr:colOff>280670</xdr:colOff>
                    <xdr:row>24</xdr:row>
                    <xdr:rowOff>175895</xdr:rowOff>
                  </from>
                  <to>
                    <xdr:col>3</xdr:col>
                    <xdr:colOff>0</xdr:colOff>
                    <xdr:row>26</xdr:row>
                    <xdr:rowOff>28575</xdr:rowOff>
                  </to>
                </anchor>
              </controlPr>
            </control>
          </mc:Choice>
        </mc:AlternateContent>
        <mc:AlternateContent xmlns:mc="http://schemas.openxmlformats.org/markup-compatibility/2006">
          <mc:Choice Requires="x14">
            <control shapeId="1100" name="Check Box 76" r:id="rId43">
              <controlPr defaultSize="0">
                <anchor moveWithCells="1">
                  <from>
                    <xdr:col>4</xdr:col>
                    <xdr:colOff>61595</xdr:colOff>
                    <xdr:row>24</xdr:row>
                    <xdr:rowOff>166370</xdr:rowOff>
                  </from>
                  <to>
                    <xdr:col>4</xdr:col>
                    <xdr:colOff>495300</xdr:colOff>
                    <xdr:row>26</xdr:row>
                    <xdr:rowOff>23495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
  <sheetViews>
    <sheetView workbookViewId="0">
      <selection activeCell="G2" sqref="G$1:G$1048576"/>
    </sheetView>
  </sheetViews>
  <sheetFormatPr defaultColWidth="9" defaultRowHeight="13.5" outlineLevelCol="6"/>
  <cols>
    <col min="1" max="1" width="21.4666666666667" customWidth="1"/>
    <col min="2" max="2" width="26.8666666666667" style="1" customWidth="1"/>
    <col min="3" max="3" width="41.8666666666667" style="2" customWidth="1"/>
    <col min="7" max="7" width="9" hidden="1" customWidth="1"/>
  </cols>
  <sheetData>
    <row r="1" ht="18.75" spans="1:4">
      <c r="A1" s="3" t="s">
        <v>119</v>
      </c>
      <c r="B1" s="3"/>
      <c r="C1" s="4"/>
      <c r="D1" s="3"/>
    </row>
    <row r="2" spans="1:3">
      <c r="A2" s="5" t="s">
        <v>120</v>
      </c>
      <c r="B2" s="5" t="s">
        <v>86</v>
      </c>
      <c r="C2" s="6" t="s">
        <v>121</v>
      </c>
    </row>
    <row r="3" spans="1:1">
      <c r="A3" s="7" t="s">
        <v>122</v>
      </c>
    </row>
    <row r="4" spans="1:1">
      <c r="A4" t="s">
        <v>123</v>
      </c>
    </row>
    <row r="5" spans="1:2">
      <c r="A5" s="8" t="s">
        <v>124</v>
      </c>
      <c r="B5" s="1">
        <v>50</v>
      </c>
    </row>
    <row r="6" spans="1:2">
      <c r="A6" s="8" t="s">
        <v>125</v>
      </c>
      <c r="B6" s="1">
        <v>50</v>
      </c>
    </row>
    <row r="7" spans="1:2">
      <c r="A7" s="8" t="s">
        <v>126</v>
      </c>
      <c r="B7" s="1">
        <v>30</v>
      </c>
    </row>
    <row r="8" spans="1:2">
      <c r="A8" s="8" t="s">
        <v>127</v>
      </c>
      <c r="B8" s="1">
        <v>30</v>
      </c>
    </row>
    <row r="9" spans="1:3">
      <c r="A9" t="s">
        <v>128</v>
      </c>
      <c r="B9" s="1">
        <v>8</v>
      </c>
      <c r="C9" s="9" t="s">
        <v>129</v>
      </c>
    </row>
    <row r="10" spans="1:3">
      <c r="A10" t="s">
        <v>130</v>
      </c>
      <c r="B10" s="1">
        <v>8</v>
      </c>
      <c r="C10" s="9"/>
    </row>
    <row r="11" spans="1:1">
      <c r="A11" s="10" t="s">
        <v>131</v>
      </c>
    </row>
    <row r="12" spans="1:3">
      <c r="A12" t="s">
        <v>132</v>
      </c>
      <c r="B12" s="1">
        <v>5</v>
      </c>
      <c r="C12" s="2" t="s">
        <v>133</v>
      </c>
    </row>
    <row r="13" spans="1:3">
      <c r="A13" s="8" t="s">
        <v>134</v>
      </c>
      <c r="B13" s="1">
        <v>6</v>
      </c>
      <c r="C13" s="2" t="s">
        <v>135</v>
      </c>
    </row>
    <row r="14" spans="1:3">
      <c r="A14" s="8" t="s">
        <v>136</v>
      </c>
      <c r="B14" s="1">
        <v>6</v>
      </c>
      <c r="C14" s="2" t="s">
        <v>137</v>
      </c>
    </row>
    <row r="15" spans="1:3">
      <c r="A15" s="8" t="s">
        <v>138</v>
      </c>
      <c r="B15" s="1">
        <v>5</v>
      </c>
      <c r="C15" s="2" t="s">
        <v>139</v>
      </c>
    </row>
    <row r="16" spans="1:3">
      <c r="A16" t="s">
        <v>140</v>
      </c>
      <c r="B16" s="1">
        <v>5</v>
      </c>
      <c r="C16" s="2" t="s">
        <v>141</v>
      </c>
    </row>
    <row r="17" spans="1:3">
      <c r="A17" s="8" t="s">
        <v>142</v>
      </c>
      <c r="B17" s="1">
        <v>5</v>
      </c>
      <c r="C17" s="2" t="s">
        <v>143</v>
      </c>
    </row>
    <row r="18" spans="1:7">
      <c r="A18" s="8" t="s">
        <v>144</v>
      </c>
      <c r="B18" s="1">
        <v>6</v>
      </c>
      <c r="G18">
        <v>5</v>
      </c>
    </row>
    <row r="19" ht="27" spans="1:7">
      <c r="A19" s="8" t="s">
        <v>145</v>
      </c>
      <c r="B19" s="1">
        <v>5</v>
      </c>
      <c r="C19" s="2" t="s">
        <v>146</v>
      </c>
      <c r="G19">
        <v>6</v>
      </c>
    </row>
    <row r="20" spans="1:7">
      <c r="A20" t="s">
        <v>147</v>
      </c>
      <c r="B20" s="1">
        <v>6</v>
      </c>
      <c r="C20" s="2" t="s">
        <v>148</v>
      </c>
      <c r="G20">
        <v>8</v>
      </c>
    </row>
    <row r="21" ht="27" spans="1:3">
      <c r="A21" s="8" t="s">
        <v>149</v>
      </c>
      <c r="B21" s="1">
        <v>6</v>
      </c>
      <c r="C21" s="2" t="s">
        <v>150</v>
      </c>
    </row>
    <row r="22" spans="1:3">
      <c r="A22" s="8" t="s">
        <v>151</v>
      </c>
      <c r="B22" s="1">
        <v>8</v>
      </c>
      <c r="C22" s="2" t="s">
        <v>152</v>
      </c>
    </row>
    <row r="23" spans="1:3">
      <c r="A23" s="8" t="s">
        <v>153</v>
      </c>
      <c r="B23" s="1">
        <v>6</v>
      </c>
      <c r="C23" s="2" t="s">
        <v>154</v>
      </c>
    </row>
    <row r="24" ht="27" spans="1:3">
      <c r="A24" t="s">
        <v>155</v>
      </c>
      <c r="B24" s="1">
        <v>5</v>
      </c>
      <c r="C24" s="2" t="s">
        <v>156</v>
      </c>
    </row>
    <row r="25" spans="1:3">
      <c r="A25" s="8" t="s">
        <v>157</v>
      </c>
      <c r="B25" s="1">
        <v>5</v>
      </c>
      <c r="C25" s="2" t="s">
        <v>158</v>
      </c>
    </row>
    <row r="26" spans="1:3">
      <c r="A26" s="8" t="s">
        <v>159</v>
      </c>
      <c r="B26" s="1">
        <v>5</v>
      </c>
      <c r="C26" s="2" t="s">
        <v>160</v>
      </c>
    </row>
    <row r="27" spans="1:3">
      <c r="A27" s="8" t="s">
        <v>161</v>
      </c>
      <c r="B27" s="1">
        <v>6</v>
      </c>
      <c r="C27" s="2" t="s">
        <v>162</v>
      </c>
    </row>
    <row r="28" spans="1:3">
      <c r="A28" t="s">
        <v>163</v>
      </c>
      <c r="B28" s="1">
        <v>5</v>
      </c>
      <c r="C28" s="2" t="s">
        <v>164</v>
      </c>
    </row>
    <row r="29" spans="1:3">
      <c r="A29" s="8" t="s">
        <v>165</v>
      </c>
      <c r="B29" s="1">
        <v>6</v>
      </c>
      <c r="C29" s="2" t="s">
        <v>166</v>
      </c>
    </row>
    <row r="30" spans="1:3">
      <c r="A30" s="8" t="s">
        <v>167</v>
      </c>
      <c r="B30" s="1">
        <v>5</v>
      </c>
      <c r="C30" s="2" t="s">
        <v>168</v>
      </c>
    </row>
    <row r="31" spans="1:1">
      <c r="A31" s="8" t="s">
        <v>169</v>
      </c>
    </row>
    <row r="32" spans="1:2">
      <c r="A32" t="s">
        <v>170</v>
      </c>
      <c r="B32" s="1">
        <v>5</v>
      </c>
    </row>
    <row r="33" spans="1:2">
      <c r="A33" s="8" t="s">
        <v>171</v>
      </c>
      <c r="B33" s="1">
        <v>10</v>
      </c>
    </row>
    <row r="34" spans="1:3">
      <c r="A34" s="8" t="s">
        <v>172</v>
      </c>
      <c r="B34" s="1">
        <v>5</v>
      </c>
      <c r="C34" s="2" t="s">
        <v>173</v>
      </c>
    </row>
    <row r="35" spans="1:3">
      <c r="A35" s="8" t="s">
        <v>174</v>
      </c>
      <c r="B35" s="1">
        <v>5</v>
      </c>
      <c r="C35" s="2" t="s">
        <v>175</v>
      </c>
    </row>
    <row r="36" spans="1:3">
      <c r="A36" t="s">
        <v>176</v>
      </c>
      <c r="B36" s="1">
        <v>10</v>
      </c>
      <c r="C36" s="2" t="s">
        <v>177</v>
      </c>
    </row>
    <row r="37" spans="1:1">
      <c r="A37" s="7" t="s">
        <v>178</v>
      </c>
    </row>
    <row r="38" spans="1:3">
      <c r="A38" t="s">
        <v>179</v>
      </c>
      <c r="B38" s="1">
        <v>5</v>
      </c>
      <c r="C38" s="2" t="s">
        <v>180</v>
      </c>
    </row>
    <row r="39" spans="1:3">
      <c r="A39" t="s">
        <v>181</v>
      </c>
      <c r="C39" s="2" t="s">
        <v>182</v>
      </c>
    </row>
  </sheetData>
  <mergeCells count="1">
    <mergeCell ref="A1:D1"/>
  </mergeCells>
  <pageMargins left="0.7" right="0.7"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申购表</vt:lpstr>
      <vt:lpstr>医院固定资产折旧年限表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小乔医生助手</cp:lastModifiedBy>
  <dcterms:created xsi:type="dcterms:W3CDTF">2006-09-13T11:21:00Z</dcterms:created>
  <dcterms:modified xsi:type="dcterms:W3CDTF">2024-06-03T02:41:20Z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DDB8ED13A7B74F8CB9E735E0160746BF_13</vt:lpwstr>
  </property>
</Properties>
</file>